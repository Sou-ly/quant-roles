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ed Roles" sheetId="1" state="visible" r:id="rId3"/>
    <sheet name="Legend &amp; Method" sheetId="2" state="visible" r:id="rId4"/>
  </sheets>
  <definedNames>
    <definedName function="false" hidden="true" localSheetId="0" name="_xlnm._FilterDatabase" vbProcedure="false">'Ranked Roles'!$A$1:$P$148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<sst xmlns="http://schemas.openxmlformats.org/spreadsheetml/2006/main" count="1810" uniqueCount="546">
  <si>
    <t xml:space="preserve">Rank</t>
  </si>
  <si>
    <t xml:space="preserve">Tier</t>
  </si>
  <si>
    <t xml:space="preserve">Firm</t>
  </si>
  <si>
    <t xml:space="preserve">Location</t>
  </si>
  <si>
    <t xml:space="preserve">Best-Suited Role for You</t>
  </si>
  <si>
    <t xml:space="preserve">Track</t>
  </si>
  <si>
    <t xml:space="preserve">Est. Year-1 Total Comp (local)</t>
  </si>
  <si>
    <t xml:space="preserve">USD Low ($k)</t>
  </si>
  <si>
    <t xml:space="preserve">USD High ($k)</t>
  </si>
  <si>
    <t xml:space="preserve">USD Mid ($k)</t>
  </si>
  <si>
    <t xml:space="preserve">Your Work Authorisation</t>
  </si>
  <si>
    <t xml:space="preserve">Why this exact role</t>
  </si>
  <si>
    <t xml:space="preserve">Eligibility Gate &amp; Your Verdict</t>
  </si>
  <si>
    <t xml:space="preserve">Stated Requirements (representative)</t>
  </si>
  <si>
    <t xml:space="preserve">Verification Status</t>
  </si>
  <si>
    <t xml:space="preserve">Source / Verify</t>
  </si>
  <si>
    <t xml:space="preserve">S</t>
  </si>
  <si>
    <t xml:space="preserve">Hudson River Trading</t>
  </si>
  <si>
    <t xml:space="preserve">Dublin</t>
  </si>
  <si>
    <t xml:space="preserve">Software Engineer (C++)</t>
  </si>
  <si>
    <t xml:space="preserve">C++</t>
  </si>
  <si>
    <t xml:space="preserve">€120–180k</t>
  </si>
  <si>
    <t xml:space="preserve">EU citizen — start immediately</t>
  </si>
  <si>
    <t xml:space="preserve">EU seat, zero friction; smaller office, same firm</t>
  </si>
  <si>
    <t xml:space="preserve">GRAD REQ STUDENT-GATED (verified: 'full-time student... eligible for full-time roles in &lt;year&gt;') — you're outside it; apply the experienced C++ req or get referred past the gate</t>
  </si>
  <si>
    <t xml:space="preserve">• C/C++ working experience required; good CS fundamentals (posting language)
• UNIX/Linux knowledge; system &amp; processor performance; network communication
• Interest in low-level architecture, logic design a plus
• Excellent design, debugging, problem-solving</t>
  </si>
  <si>
    <t xml:space="preserve">Reported — confirm office/req before applying</t>
  </si>
  <si>
    <t xml:space="preserve">https://www.hudsonrivertrading.com/careers/</t>
  </si>
  <si>
    <t xml:space="preserve">XTX Markets</t>
  </si>
  <si>
    <t xml:space="preserve">Paris</t>
  </si>
  <si>
    <t xml:space="preserve">Quantitative Researcher</t>
  </si>
  <si>
    <t xml:space="preserve">Research</t>
  </si>
  <si>
    <t xml:space="preserve">€110–180k</t>
  </si>
  <si>
    <t xml:space="preserve">First-author ML papers + GPU work at an ML/HPC-first firm; zero visa friction; real research seat, not a satellite</t>
  </si>
  <si>
    <t xml:space="preserve">New-grad/junior QR — MS+ with research record; recent grads accepted; you qualify</t>
  </si>
  <si>
    <t xml:space="preserve">• Python research stack (NumPy, PyTorch/JAX) + C++ production
• ML/statistics depth; large-data comfort
• HPC/GPU cluster experience highly valued
• Academic-style research culture fit</t>
  </si>
  <si>
    <t xml:space="preserve">Verified — primary source</t>
  </si>
  <si>
    <t xml:space="preserve">https://www.xtxmarkets.com/careers/</t>
  </si>
  <si>
    <t xml:space="preserve">Jane Street</t>
  </si>
  <si>
    <t xml:space="preserve">Amsterdam</t>
  </si>
  <si>
    <t xml:space="preserve">Software Engineer</t>
  </si>
  <si>
    <t xml:space="preserve">€110–170k</t>
  </si>
  <si>
    <t xml:space="preserve">Highest-brand EU seat you can take tomorrow; OCaml taught on the job</t>
  </si>
  <si>
    <t xml:space="preserve">No student gate on SWE reqs — new grads and recent grads both interviewed; you qualify</t>
  </si>
  <si>
    <t xml:space="preserve">• Strong programming in any language — OCaml taught on the job
• Deep CS or maths fundamentals; puzzle/problem orientation
• No finance experience expected
• Collaborative, low-ego working style screened</t>
  </si>
  <si>
    <t xml:space="preserve">https://www.janestreet.com/join-jane-street/open-roles/</t>
  </si>
  <si>
    <t xml:space="preserve">Jump Trading</t>
  </si>
  <si>
    <t xml:space="preserve">Core Infrastructure Engineer (C++)</t>
  </si>
  <si>
    <t xml:space="preserve">€100–160k</t>
  </si>
  <si>
    <t xml:space="preserve">Kernel/network-stack work, EU seat, zero friction; their ML-infra estate fits your GPU background</t>
  </si>
  <si>
    <t xml:space="preserve">New-grad OR entry-level req — recent grads accepted; you qualify</t>
  </si>
  <si>
    <t xml:space="preserve">• Strong modern C++ (14/17/20); CS fundamentals (DS&amp;A)
• Linux/UNIX internals; networking; CPU/memory performance
• BS/MS in CS, EE, maths or physics
• Low-latency or systems project evidence
• No finance background required</t>
  </si>
  <si>
    <t xml:space="preserve">https://www.jumptrading.com/careers/</t>
  </si>
  <si>
    <t xml:space="preserve">London</t>
  </si>
  <si>
    <t xml:space="preserve">£250–450k TC</t>
  </si>
  <si>
    <t xml:space="preserve">UK — HPI visa, self-sponsored ~3 wks</t>
  </si>
  <si>
    <t xml:space="preserve">Top-of-market London pay; apply SWE req, not trading</t>
  </si>
  <si>
    <t xml:space="preserve">Research Engineer (ML/HPC)</t>
  </si>
  <si>
    <t xml:space="preserve">ML Performance</t>
  </si>
  <si>
    <t xml:space="preserve">$250–400k TC</t>
  </si>
  <si>
    <t xml:space="preserve">Their exact bottleneck: people who design models AND make GPUs fast; largest research cluster in the industry</t>
  </si>
  <si>
    <t xml:space="preserve">No formal gate — CV screened on systems/ML evidence; you qualify</t>
  </si>
  <si>
    <t xml:space="preserve">Algo Developer</t>
  </si>
  <si>
    <t xml:space="preserve">£180–280k</t>
  </si>
  <si>
    <t xml:space="preserve">Algo dev blurs QD/QR — matches your dual profile; HPI self-sponsor</t>
  </si>
  <si>
    <t xml:space="preserve">Core Developer (C++)</t>
  </si>
  <si>
    <t xml:space="preserve">£170–260k</t>
  </si>
  <si>
    <t xml:space="preserve">Deep systems + huge GPU estate; HPI route</t>
  </si>
  <si>
    <t xml:space="preserve">G-Research</t>
  </si>
  <si>
    <t xml:space="preserve">Machine Learning Engineer (Graduate)</t>
  </si>
  <si>
    <t xml:space="preserve">£150–250k</t>
  </si>
  <si>
    <t xml:space="preserve">Explicit ML-systems track; grad scheme open to non-finance; your quantisation work maps 1:1 to their infra teams</t>
  </si>
  <si>
    <t xml:space="preserve">Grad scheme launches ~Aug (verified), takes candidates 1–2 yrs out; you qualify</t>
  </si>
  <si>
    <t xml:space="preserve">• Strong coder in C++ or Python
• ML engineering / large-scale compute interest
• Quantitative degree (maths/physics/CS/eng)
• Grad scheme: no finance knowledge assumed</t>
  </si>
  <si>
    <t xml:space="preserve">https://www.gresearch.com/vacancies/</t>
  </si>
  <si>
    <t xml:space="preserve">Hong Kong</t>
  </si>
  <si>
    <t xml:space="preserve">$350–508k TC reported</t>
  </si>
  <si>
    <t xml:space="preserve">Sponsorship required — routine at this tier</t>
  </si>
  <si>
    <t xml:space="preserve">Documented ~$508k grad package; 15% tax; sponsorship routine</t>
  </si>
  <si>
    <t xml:space="preserve">https://www.levels.fyi/companies/jane-street/salaries</t>
  </si>
  <si>
    <t xml:space="preserve">Singapore</t>
  </si>
  <si>
    <t xml:space="preserve">SGD 300–450k</t>
  </si>
  <si>
    <t xml:space="preserve">Same flat-pay structure, APAC seat</t>
  </si>
  <si>
    <t xml:space="preserve">SGD 300–420k</t>
  </si>
  <si>
    <t xml:space="preserve">Core engineering site, EP realistic at this comp; best non-US HRT door</t>
  </si>
  <si>
    <t xml:space="preserve">Research Engineer (ML Infra)</t>
  </si>
  <si>
    <t xml:space="preserve">SGD 280–380k</t>
  </si>
  <si>
    <t xml:space="preserve">ML research infra seat on APAC hours</t>
  </si>
  <si>
    <t xml:space="preserve">• GPU programming (CUDA/kernels) or HPC at scale
• Python + C++; PyTorch/JAX familiarity
• Strong maths/stats foundation
• Perf profiling &amp; optimisation evidence
• Publications / OSS contributions valued</t>
  </si>
  <si>
    <t xml:space="preserve">SGD 250–350k</t>
  </si>
  <si>
    <t xml:space="preserve">Same firm, Asia seat; C++ core dev if you prefer APAC hours</t>
  </si>
  <si>
    <t xml:space="preserve">New York</t>
  </si>
  <si>
    <t xml:space="preserve">$400–600k</t>
  </si>
  <si>
    <t xml:space="preserve">US — H-1B lottery / O-1 only</t>
  </si>
  <si>
    <t xml:space="preserve">$300k flat base + bonus; lottery-gated</t>
  </si>
  <si>
    <t xml:space="preserve">Chicago</t>
  </si>
  <si>
    <t xml:space="preserve">$380–550k</t>
  </si>
  <si>
    <t xml:space="preserve">Smaller office, same pay scale</t>
  </si>
  <si>
    <t xml:space="preserve">Software Engineer (C++) — 2027 Grads</t>
  </si>
  <si>
    <t xml:space="preserve">$400–500k ($300k base)</t>
  </si>
  <si>
    <t xml:space="preserve">Purest SWE culture in top-tier prop; interview is algos+systems, your home turf</t>
  </si>
  <si>
    <t xml:space="preserve">Austin</t>
  </si>
  <si>
    <t xml:space="preserve">Core Software Engineer</t>
  </si>
  <si>
    <t xml:space="preserve">$380–470k</t>
  </si>
  <si>
    <t xml:space="preserve">Often less competitive than NY for identical role</t>
  </si>
  <si>
    <t xml:space="preserve">Same role, derivatives-side infra</t>
  </si>
  <si>
    <t xml:space="preserve">Campus Software Engineer (C++)</t>
  </si>
  <si>
    <t xml:space="preserve">HQ; FPGA/kernel-level work</t>
  </si>
  <si>
    <t xml:space="preserve">$300–480k</t>
  </si>
  <si>
    <t xml:space="preserve">Top US seat if the lottery/O-1 lands; apply cheap, don't plan on it</t>
  </si>
  <si>
    <t xml:space="preserve">Dallas</t>
  </si>
  <si>
    <t xml:space="preserve">ML / HPC Engineer</t>
  </si>
  <si>
    <t xml:space="preserve">$300–450k</t>
  </si>
  <si>
    <t xml:space="preserve">US arm of the same cluster org; lottery-gated</t>
  </si>
  <si>
    <t xml:space="preserve">A</t>
  </si>
  <si>
    <t xml:space="preserve">Citadel Securities</t>
  </si>
  <si>
    <t xml:space="preserve">Zurich</t>
  </si>
  <si>
    <t xml:space="preserve">Quantitative Developer</t>
  </si>
  <si>
    <t xml:space="preserve">CHF 160–250k</t>
  </si>
  <si>
    <t xml:space="preserve">CH residence permit — start immediately</t>
  </si>
  <si>
    <t xml:space="preserve">Small Seefeld office — your CH permit turns a long-shot into a live option almost nobody else can take</t>
  </si>
  <si>
    <t xml:space="preserve">https://www.citadelsecurities.com/careers/</t>
  </si>
  <si>
    <t xml:space="preserve">IMC Trading</t>
  </si>
  <si>
    <t xml:space="preserve">Zug</t>
  </si>
  <si>
    <t xml:space="preserve">Trading Systems Engineer (Crypto)</t>
  </si>
  <si>
    <t xml:space="preserve">CHF 140–220k</t>
  </si>
  <si>
    <t xml:space="preserve">Crypto arm; CH permit = walk-in to a seat few can take</t>
  </si>
  <si>
    <t xml:space="preserve">GRAD REQ YEAR-WINDOW-GATED (verified: 'current student graduating Sep&lt;y&gt;–Jul&lt;y+1&gt;') — you fall between windows; apply experienced SWE req instead</t>
  </si>
  <si>
    <t xml:space="preserve">https://careers.imc.com/</t>
  </si>
  <si>
    <t xml:space="preserve">Squarepoint Capital</t>
  </si>
  <si>
    <t xml:space="preserve">Geneva</t>
  </si>
  <si>
    <t xml:space="preserve">CHF 130–190k</t>
  </si>
  <si>
    <t xml:space="preserve">Your CH permit makes this a walk-in; rare Swiss QD seat</t>
  </si>
  <si>
    <t xml:space="preserve">Grad + experienced QD tracks; recent grads accepted; you qualify</t>
  </si>
  <si>
    <t xml:space="preserve">https://www.squarepoint-capital.com/careers</t>
  </si>
  <si>
    <t xml:space="preserve">Qube Research &amp; Technologies</t>
  </si>
  <si>
    <t xml:space="preserve">2nd-largest office, French-founder culture, papers valued; zero friction</t>
  </si>
  <si>
    <t xml:space="preserve">Grad + experienced tracks both live; recent grads accepted; you qualify</t>
  </si>
  <si>
    <t xml:space="preserve">• MSc/PhD in maths, physics, CS or stats
• Probability, statistics, linear algebra depth
• Python; ML methods experience
• Research record (papers/thesis) valued
• No finance background required</t>
  </si>
  <si>
    <t xml:space="preserve">https://www.qube-rt.com/careers/</t>
  </si>
  <si>
    <t xml:space="preserve">DRW</t>
  </si>
  <si>
    <t xml:space="preserve">Software Developer (C++)</t>
  </si>
  <si>
    <t xml:space="preserve">€95–150k</t>
  </si>
  <si>
    <t xml:space="preserve">EU core-eng seat, softer door than JS/Optiver for same work</t>
  </si>
  <si>
    <t xml:space="preserve">https://www.drw.com/work-at-drw</t>
  </si>
  <si>
    <t xml:space="preserve">Tower Research Capital</t>
  </si>
  <si>
    <t xml:space="preserve">Core Engineer (C++)</t>
  </si>
  <si>
    <t xml:space="preserve">VERIFIED office (32 Rue des Mathurins, firm site); EU zero-friction seat at a core-engineering federation</t>
  </si>
  <si>
    <t xml:space="preserve">https://tower-research.com/offices/</t>
  </si>
  <si>
    <t xml:space="preserve">VERIFIED office (WTC Tower Ten, firm site); EU zero-friction</t>
  </si>
  <si>
    <t xml:space="preserve">Graduate Software Engineer (C++)</t>
  </si>
  <si>
    <t xml:space="preserve">€90–140k</t>
  </si>
  <si>
    <t xml:space="preserve">HQ owns core tech; 30% expat ruling likely on top; zero friction</t>
  </si>
  <si>
    <t xml:space="preserve">Optiver</t>
  </si>
  <si>
    <t xml:space="preserve">C++ Engineer (Technology track)</t>
  </si>
  <si>
    <t xml:space="preserve">Tech track only — NOT trader track; wide funnel (~300 interns/yr)</t>
  </si>
  <si>
    <t xml:space="preserve">Grad scheme prefers final-years; separate experienced tech reqs take 0–3 YoE — apply the latter; you qualify</t>
  </si>
  <si>
    <t xml:space="preserve">• (Tech track) Strong C++; systems knowledge
• DS&amp;A fundamentals; testing discipline
• FPGA/hardware interest a plus
• Trader track NOT recommended for your profile</t>
  </si>
  <si>
    <t xml:space="preserve">https://optiver.com/working-at-optiver/career-opportunities/</t>
  </si>
  <si>
    <t xml:space="preserve">Tokyo</t>
  </si>
  <si>
    <t xml:space="preserve">Trading Systems Engineer</t>
  </si>
  <si>
    <t xml:space="preserve">¥14–22M</t>
  </si>
  <si>
    <t xml:space="preserve">JP residence — already in-country</t>
  </si>
  <si>
    <t xml:space="preserve">Thin client-facing office BUT you're in-country with residence — near-zero competition for the rare tech req</t>
  </si>
  <si>
    <t xml:space="preserve">Quantitative Developer (C++)</t>
  </si>
  <si>
    <t xml:space="preserve">€85–130k</t>
  </si>
  <si>
    <t xml:space="preserve">First-class Paris engineering site; highest-probability top-20 seat for you</t>
  </si>
  <si>
    <t xml:space="preserve">Two Sigma</t>
  </si>
  <si>
    <t xml:space="preserve">Platform Engineer</t>
  </si>
  <si>
    <t xml:space="preserve">¥13–20M</t>
  </si>
  <si>
    <t xml:space="preserve">Small office, but your JP residence removes the relocation cost that blocks everyone else</t>
  </si>
  <si>
    <t xml:space="preserve">https://careers.twosigma.com/</t>
  </si>
  <si>
    <t xml:space="preserve">Capital Fund Management (CFM)</t>
  </si>
  <si>
    <t xml:space="preserve">€75–110k</t>
  </si>
  <si>
    <t xml:space="preserve">Stat-mech house style (Bouchaud); your physics + first-author papers are their exact hiring template; best learning seat in Europe</t>
  </si>
  <si>
    <t xml:space="preserve">Junior QR intake values MSc + publications; recent grads standard; you qualify</t>
  </si>
  <si>
    <t xml:space="preserve">• PhD or research MSc in physics/maths/stats preferred
• Statistical modelling; stat-mech lineage welcomed
• Python; clean scientific coding
• Publication record a genuine plus</t>
  </si>
  <si>
    <t xml:space="preserve">https://www.cfm.com/careers/</t>
  </si>
  <si>
    <t xml:space="preserve">Quadrature Capital</t>
  </si>
  <si>
    <t xml:space="preserve">Systems Engineer (HPC)</t>
  </si>
  <si>
    <t xml:space="preserve">£160–280k</t>
  </si>
  <si>
    <t xml:space="preserve">Tiny, huge compute, among highest per-head payers in London; dramatically under-applied</t>
  </si>
  <si>
    <t xml:space="preserve">https://quadrature.ai/</t>
  </si>
  <si>
    <t xml:space="preserve">Low-Latency C++ Engineer</t>
  </si>
  <si>
    <t xml:space="preserve">£160–250k</t>
  </si>
  <si>
    <t xml:space="preserve">Core European dev site; HPI route</t>
  </si>
  <si>
    <t xml:space="preserve">HQ, ~490 staff and growing ~66% y/y; QR track fits your pubs</t>
  </si>
  <si>
    <t xml:space="preserve">£140–220k</t>
  </si>
  <si>
    <t xml:space="preserve">European research seat</t>
  </si>
  <si>
    <t xml:space="preserve">Strong low-latency bench</t>
  </si>
  <si>
    <t xml:space="preserve">European seat</t>
  </si>
  <si>
    <t xml:space="preserve">D. E. Shaw</t>
  </si>
  <si>
    <t xml:space="preserve">Quantitative Analyst</t>
  </si>
  <si>
    <t xml:space="preserve">£130–200k</t>
  </si>
  <si>
    <t xml:space="preserve">https://www.deshaw.com/careers</t>
  </si>
  <si>
    <t xml:space="preserve">£120–180k</t>
  </si>
  <si>
    <t xml:space="preserve">Smaller than Paris but same research DNA</t>
  </si>
  <si>
    <t xml:space="preserve">£110–170k</t>
  </si>
  <si>
    <t xml:space="preserve">Co-HQ; large QD org, softer door than JS/HRT</t>
  </si>
  <si>
    <t xml:space="preserve">ADIA (Team Q)</t>
  </si>
  <si>
    <t xml:space="preserve">Abu Dhabi</t>
  </si>
  <si>
    <t xml:space="preserve">ML Researcher</t>
  </si>
  <si>
    <t xml:space="preserve">$250–400k tax-free</t>
  </si>
  <si>
    <t xml:space="preserve">Zero income tax = best net on the list; papers-first hiring; grew 50→150 people</t>
  </si>
  <si>
    <t xml:space="preserve">No formal gate — papers-first screening; junior researchers taken; you qualify</t>
  </si>
  <si>
    <t xml:space="preserve">https://www.adia.ae/en/careers</t>
  </si>
  <si>
    <t xml:space="preserve">HKD 1.8–2.6M</t>
  </si>
  <si>
    <t xml:space="preserve">APAC engineering centre, 30 hires in 2026; 15% tax</t>
  </si>
  <si>
    <t xml:space="preserve">HKD 1.5–2.4M</t>
  </si>
  <si>
    <t xml:space="preserve">~155 staff growing 44% y/y; under-applied vs London</t>
  </si>
  <si>
    <t xml:space="preserve">HKD 1.5–2.2M</t>
  </si>
  <si>
    <t xml:space="preserve">APAC core seat</t>
  </si>
  <si>
    <t xml:space="preserve">APAC secondary seat</t>
  </si>
  <si>
    <t xml:space="preserve">HKD 1.4–2.0M</t>
  </si>
  <si>
    <t xml:space="preserve">APAC dev seat</t>
  </si>
  <si>
    <t xml:space="preserve">SGD 240–340k</t>
  </si>
  <si>
    <t xml:space="preserve">Deep APAC footprint (Marina One, firm site)</t>
  </si>
  <si>
    <t xml:space="preserve">SGD 220–320k</t>
  </si>
  <si>
    <t xml:space="preserve">Dev seat if you prefer SG over HK</t>
  </si>
  <si>
    <t xml:space="preserve">APAC seat</t>
  </si>
  <si>
    <t xml:space="preserve">SGD 200–300k</t>
  </si>
  <si>
    <t xml:space="preserve">APAC engineering seat</t>
  </si>
  <si>
    <t xml:space="preserve">Montreal</t>
  </si>
  <si>
    <t xml:space="preserve">CAD 180–260k</t>
  </si>
  <si>
    <t xml:space="preserve">Canada visa far easier than US; underrated backdoor to NA</t>
  </si>
  <si>
    <t xml:space="preserve">Ubiquant</t>
  </si>
  <si>
    <t xml:space="preserve">Quantitative Researcher (offshore)</t>
  </si>
  <si>
    <t xml:space="preserve">up to $300k (new grad AI/CS)</t>
  </si>
  <si>
    <t xml:space="preserve">Work permit feasible; English-tolerant niche</t>
  </si>
  <si>
    <t xml:space="preserve">They read your papers in the interview — your ISCA+ICLR record is a bespoke advantage; HK entity avoids Mandarin wall</t>
  </si>
  <si>
    <t xml:space="preserve">New-grad AI/CS track explicitly open to recent grads; papers examined in process — your strongest gate anywhere</t>
  </si>
  <si>
    <t xml:space="preserve">• AI/CS background; publications examined directly in interviews
• ML research or engineering depth
• Competition/olympiad or paper record valued
• New-grad AI track pays to $300k (public)</t>
  </si>
  <si>
    <t xml:space="preserve">https://www.ubiquant.com/</t>
  </si>
  <si>
    <t xml:space="preserve">Beijing</t>
  </si>
  <si>
    <t xml:space="preserve">AI Researcher</t>
  </si>
  <si>
    <t xml:space="preserve">up to $300k + profit share</t>
  </si>
  <si>
    <t xml:space="preserve">Publicly pays AI/CS new grads at global rates; HQ seat needs some Mandarin tolerance</t>
  </si>
  <si>
    <r>
      <rPr>
        <sz val="9"/>
        <rFont val="Arial"/>
        <family val="0"/>
        <charset val="1"/>
      </rPr>
      <t xml:space="preserve">High-Flyer (</t>
    </r>
    <r>
      <rPr>
        <sz val="9"/>
        <rFont val="Noto Sans CJK SC"/>
        <family val="2"/>
      </rPr>
      <t xml:space="preserve">幻方量化</t>
    </r>
    <r>
      <rPr>
        <sz val="9"/>
        <rFont val="Arial"/>
        <family val="0"/>
        <charset val="1"/>
      </rPr>
      <t xml:space="preserve">)</t>
    </r>
  </si>
  <si>
    <t xml:space="preserve">Hangzhou</t>
  </si>
  <si>
    <t xml:space="preserve">AI Infrastructure / GPU Engineer</t>
  </si>
  <si>
    <t xml:space="preserve">¥1–2M</t>
  </si>
  <si>
    <t xml:space="preserve">Fire-Flyer clusters + DeepSeek: the one Chinese firm where GPU kernels ARE the product; English-tolerant infra niche is rare but real</t>
  </si>
  <si>
    <t xml:space="preserve">Research/infra hiring is portfolio-based, no student gate; Mandarin is the real filter, not status</t>
  </si>
  <si>
    <t xml:space="preserve">• Deep-learning research or GPU/cluster infra experience
• CUDA/kernel-level optimisation for training/inference
• Mandarin working language (AI-infra side most tolerant)
• Olympiad/big-tech-infra peer group</t>
  </si>
  <si>
    <t xml:space="preserve">https://www.high-flyer.cn/</t>
  </si>
  <si>
    <t xml:space="preserve">Shanghai</t>
  </si>
  <si>
    <t xml:space="preserve">AI Infrastructure Engineer</t>
  </si>
  <si>
    <t xml:space="preserve">Same pitch, Shanghai seat</t>
  </si>
  <si>
    <t xml:space="preserve">Five Rings</t>
  </si>
  <si>
    <t xml:space="preserve">$400–550k</t>
  </si>
  <si>
    <t xml:space="preserve">$300k flat base tied with JS; tiny intake — one cheap lottery ticket</t>
  </si>
  <si>
    <t xml:space="preserve">https://fiverings.com/</t>
  </si>
  <si>
    <t xml:space="preserve">$350–450k</t>
  </si>
  <si>
    <t xml:space="preserve">~$257k avg QR base in filings; QD comparable</t>
  </si>
  <si>
    <t xml:space="preserve">Derivatives infra heart</t>
  </si>
  <si>
    <t xml:space="preserve">Miami</t>
  </si>
  <si>
    <t xml:space="preserve">HQ</t>
  </si>
  <si>
    <t xml:space="preserve">$350–425k</t>
  </si>
  <si>
    <t xml:space="preserve">$425k intern-conversion datapoint (2024 cohort)</t>
  </si>
  <si>
    <t xml:space="preserve">$330–430k</t>
  </si>
  <si>
    <t xml:space="preserve">Less over-applied than NY/Chicago</t>
  </si>
  <si>
    <t xml:space="preserve">$320–420k</t>
  </si>
  <si>
    <t xml:space="preserve">Quantitative Researcher / ML Engineer</t>
  </si>
  <si>
    <t xml:space="preserve">$300–420k</t>
  </si>
  <si>
    <t xml:space="preserve">Most tech-like big fund; engineering ladder respected</t>
  </si>
  <si>
    <t xml:space="preserve">C++ Engineer</t>
  </si>
  <si>
    <t xml:space="preserve">US tech seat</t>
  </si>
  <si>
    <t xml:space="preserve">HQ; federation model — ask which group</t>
  </si>
  <si>
    <t xml:space="preserve">Systems Engineer / Quant Analyst</t>
  </si>
  <si>
    <t xml:space="preserve">$300–400k</t>
  </si>
  <si>
    <t xml:space="preserve">Hires systems people onto the research ladder; fundamentals-heavy interview suits you</t>
  </si>
  <si>
    <t xml:space="preserve">Growing second US site</t>
  </si>
  <si>
    <t xml:space="preserve">$250–350k</t>
  </si>
  <si>
    <t xml:space="preserve">Co-HQ US seat; lottery</t>
  </si>
  <si>
    <t xml:space="preserve">~15 researchers; US pay on CFM culture</t>
  </si>
  <si>
    <t xml:space="preserve">B</t>
  </si>
  <si>
    <t xml:space="preserve">Millennium</t>
  </si>
  <si>
    <t xml:space="preserve">Core Platform Engineer (C++)</t>
  </si>
  <si>
    <t xml:space="preserve">CHF 150–220k</t>
  </si>
  <si>
    <t xml:space="preserve">CH permit + four Swiss offices; platform comp capped vs prop but Swiss net is excellent</t>
  </si>
  <si>
    <t xml:space="preserve">Experienced-lean platform reqs, 0–3 YoE typical; new-grad title rare; you qualify</t>
  </si>
  <si>
    <t xml:space="preserve">https://www.mlp.com/careers/</t>
  </si>
  <si>
    <t xml:space="preserve">Systematica</t>
  </si>
  <si>
    <t xml:space="preserve">CHF 140–210k</t>
  </si>
  <si>
    <t xml:space="preserve">Genuinely systematic Swiss research seat; CH permit = walk-in</t>
  </si>
  <si>
    <t xml:space="preserve">https://www.systematica.com/</t>
  </si>
  <si>
    <t xml:space="preserve">Schonfeld</t>
  </si>
  <si>
    <t xml:space="preserve">CHF 140–200k</t>
  </si>
  <si>
    <t xml:space="preserve">CH permit seat</t>
  </si>
  <si>
    <t xml:space="preserve">Experienced-lean, 0–3 YoE typical; you qualify at start date</t>
  </si>
  <si>
    <t xml:space="preserve">https://www.schonfeld.com/careers</t>
  </si>
  <si>
    <t xml:space="preserve">Headlands Technologies</t>
  </si>
  <si>
    <t xml:space="preserve">Quiet upper-prop EU seat</t>
  </si>
  <si>
    <t xml:space="preserve">https://www.headlandstech.com/</t>
  </si>
  <si>
    <t xml:space="preserve">Susquehanna (SIG)</t>
  </si>
  <si>
    <t xml:space="preserve">EU seat at a top options shop; dev track, not trading</t>
  </si>
  <si>
    <t xml:space="preserve">https://careers.sig.com/</t>
  </si>
  <si>
    <t xml:space="preserve">Old Mission Capital</t>
  </si>
  <si>
    <t xml:space="preserve">EU seat at mid-upper prop</t>
  </si>
  <si>
    <t xml:space="preserve">https://www.oldmissioncapital.com/</t>
  </si>
  <si>
    <t xml:space="preserve">Point72 / Cubist</t>
  </si>
  <si>
    <t xml:space="preserve">€85–125k</t>
  </si>
  <si>
    <t xml:space="preserve">Significant Cubist headcount; Academy = real grad pipeline</t>
  </si>
  <si>
    <t xml:space="preserve">Academy = new-grad pipeline (year-gated, verify window); Cubist QD reqs take 0–3 YoE — apply Cubist direct; you qualify</t>
  </si>
  <si>
    <t xml:space="preserve">https://careers.point72.com/</t>
  </si>
  <si>
    <t xml:space="preserve">EU seat</t>
  </si>
  <si>
    <t xml:space="preserve">Balyasny</t>
  </si>
  <si>
    <t xml:space="preserve">https://www.bamfunds.com/careers</t>
  </si>
  <si>
    <t xml:space="preserve">One of the larger foreign quant seats in Japan; you're in-country</t>
  </si>
  <si>
    <t xml:space="preserve">Warsaw</t>
  </si>
  <si>
    <t xml:space="preserve">PLN 350–550k</t>
  </si>
  <si>
    <t xml:space="preserve">EU seat, low cost of living, same platform work</t>
  </si>
  <si>
    <t xml:space="preserve">Da Vinci Derivatives</t>
  </si>
  <si>
    <t xml:space="preserve">€80–120k</t>
  </si>
  <si>
    <t xml:space="preserve">Amsterdam-native options shop</t>
  </si>
  <si>
    <t xml:space="preserve">https://davinciderivatives.com/</t>
  </si>
  <si>
    <t xml:space="preserve">Flow Traders</t>
  </si>
  <si>
    <t xml:space="preserve">C++ Developer</t>
  </si>
  <si>
    <t xml:space="preserve">€75–115k</t>
  </si>
  <si>
    <t xml:space="preserve">Listed so capped, but real EU trading tech</t>
  </si>
  <si>
    <t xml:space="preserve">https://www.flowtraders.com/careers</t>
  </si>
  <si>
    <t xml:space="preserve">¥12–18M</t>
  </si>
  <si>
    <t xml:space="preserve">In-country advantage; smaller seat</t>
  </si>
  <si>
    <t xml:space="preserve">ExodusPoint</t>
  </si>
  <si>
    <t xml:space="preserve">In-country pod-shop seat</t>
  </si>
  <si>
    <t xml:space="preserve">Experienced-lean, 1–3 YoE typical; borderline now, fine by start date</t>
  </si>
  <si>
    <t xml:space="preserve">https://www.exoduspoint.com/</t>
  </si>
  <si>
    <t xml:space="preserve">Goldman Sachs (Strats)</t>
  </si>
  <si>
    <t xml:space="preserve">Quantitative Strategist</t>
  </si>
  <si>
    <t xml:space="preserve">EU strats seat; brand floor</t>
  </si>
  <si>
    <t xml:space="preserve">Campus analyst intake is year-gated — you're outside; apply lateral 'Strat, Analyst/Associate' reqs; you qualify with 1+ YoE at start</t>
  </si>
  <si>
    <t xml:space="preserve">• Quantitative degree; solid programming (C++/Python/Slang)
• Derivatives/pricing interest helpful, not required
• English-language seat in Tokyo; JP language not required in strats</t>
  </si>
  <si>
    <t xml:space="preserve">https://www.goldmansachs.com/careers/</t>
  </si>
  <si>
    <t xml:space="preserve">¥10–16M</t>
  </si>
  <si>
    <t xml:space="preserve">English-language quant seat in Japan; floor option that uses your residence</t>
  </si>
  <si>
    <t xml:space="preserve">Wintermute</t>
  </si>
  <si>
    <t xml:space="preserve">Rust/C++ Engineer</t>
  </si>
  <si>
    <t xml:space="preserve">£120–250k (variable)</t>
  </si>
  <si>
    <t xml:space="preserve">Crypto MM — higher variance, hard engineering, easier door</t>
  </si>
  <si>
    <t xml:space="preserve">https://www.wintermute.com/careers</t>
  </si>
  <si>
    <t xml:space="preserve">Systematic arm dev seat</t>
  </si>
  <si>
    <t xml:space="preserve">Core Platform Engineer</t>
  </si>
  <si>
    <t xml:space="preserve">Central tech function for a new grad, not a pod</t>
  </si>
  <si>
    <t xml:space="preserve">Maven Securities</t>
  </si>
  <si>
    <t xml:space="preserve">~$206k avg QR base in US filings; London HQ</t>
  </si>
  <si>
    <t xml:space="preserve">https://www.mavensecurities.com/careers/</t>
  </si>
  <si>
    <t xml:space="preserve">Marshall Wace</t>
  </si>
  <si>
    <t xml:space="preserve">Systematic dev seat (their events require enrolment; direct QD reqs don't)</t>
  </si>
  <si>
    <t xml:space="preserve">Campus events enrolment-gated (verified); direct QD reqs are not — apply direct only</t>
  </si>
  <si>
    <t xml:space="preserve">https://www.mwam.com/</t>
  </si>
  <si>
    <t xml:space="preserve">Platform seat</t>
  </si>
  <si>
    <r>
      <rPr>
        <sz val="9"/>
        <rFont val="Arial"/>
        <family val="0"/>
        <charset val="1"/>
      </rPr>
      <t xml:space="preserve">Mingshi Investment (</t>
    </r>
    <r>
      <rPr>
        <sz val="9"/>
        <rFont val="Noto Sans CJK SC"/>
        <family val="2"/>
      </rPr>
      <t xml:space="preserve">鸣石</t>
    </r>
    <r>
      <rPr>
        <sz val="9"/>
        <rFont val="Arial"/>
        <family val="0"/>
        <charset val="1"/>
      </rPr>
      <t xml:space="preserve">)</t>
    </r>
  </si>
  <si>
    <t xml:space="preserve">£100–160k</t>
  </si>
  <si>
    <t xml:space="preserve">Rare PRC quant with a London research entity</t>
  </si>
  <si>
    <t xml:space="preserve">https://www.mingshiim.com/</t>
  </si>
  <si>
    <t xml:space="preserve">Man Group / AHL</t>
  </si>
  <si>
    <t xml:space="preserve">Graduate Quantitative Developer</t>
  </si>
  <si>
    <t xml:space="preserve">£90–140k</t>
  </si>
  <si>
    <t xml:space="preserve">Well-regarded grad scheme, looser date filters; floor-not-target pay</t>
  </si>
  <si>
    <t xml:space="preserve">https://www.man.com/careers</t>
  </si>
  <si>
    <t xml:space="preserve">HKD 1.3–1.9M</t>
  </si>
  <si>
    <t xml:space="preserve">Eclipse Trading</t>
  </si>
  <si>
    <t xml:space="preserve">HKD 1.2–2.0M</t>
  </si>
  <si>
    <t xml:space="preserve">Asia-native prop; far less competition than US firms' HK offices; 15% tax</t>
  </si>
  <si>
    <t xml:space="preserve">https://www.eclipsetrading.com/careers</t>
  </si>
  <si>
    <t xml:space="preserve">HKD 1.2–1.7M</t>
  </si>
  <si>
    <t xml:space="preserve">Quantedge</t>
  </si>
  <si>
    <t xml:space="preserve">SGD 180–280k</t>
  </si>
  <si>
    <t xml:space="preserve">Strong SG-native fund</t>
  </si>
  <si>
    <t xml:space="preserve">https://www.quantedge.com/</t>
  </si>
  <si>
    <t xml:space="preserve">Grasshopper</t>
  </si>
  <si>
    <t xml:space="preserve">SGD 160–240k</t>
  </si>
  <si>
    <t xml:space="preserve">Singapore-native prop; grad pipeline</t>
  </si>
  <si>
    <t xml:space="preserve">https://grasshopperasia.com/</t>
  </si>
  <si>
    <t xml:space="preserve">CAD 160–230k</t>
  </si>
  <si>
    <t xml:space="preserve">Canada route; easier NA entry than US</t>
  </si>
  <si>
    <r>
      <rPr>
        <sz val="9"/>
        <rFont val="Arial"/>
        <family val="0"/>
        <charset val="1"/>
      </rPr>
      <t xml:space="preserve">Blackwing Asset (</t>
    </r>
    <r>
      <rPr>
        <sz val="9"/>
        <rFont val="Noto Sans CJK SC"/>
        <family val="2"/>
      </rPr>
      <t xml:space="preserve">黑翼</t>
    </r>
    <r>
      <rPr>
        <sz val="9"/>
        <rFont val="Arial"/>
        <family val="0"/>
        <charset val="1"/>
      </rPr>
      <t xml:space="preserve">)</t>
    </r>
  </si>
  <si>
    <t xml:space="preserve">HKD 1.0–1.8M</t>
  </si>
  <si>
    <t xml:space="preserve">Stanford-founded, HK Type 9 licence 2025; most foreigner-legible PRC quant</t>
  </si>
  <si>
    <t xml:space="preserve">https://www.blackwingam.com/</t>
  </si>
  <si>
    <t xml:space="preserve">PDT Partners</t>
  </si>
  <si>
    <t xml:space="preserve">Systems Engineer</t>
  </si>
  <si>
    <t xml:space="preserve">Tiny, elite, systems-friendly</t>
  </si>
  <si>
    <t xml:space="preserve">https://pdtpartners.com/</t>
  </si>
  <si>
    <t xml:space="preserve">Radix Trading</t>
  </si>
  <si>
    <t xml:space="preserve">Research Software Engineer</t>
  </si>
  <si>
    <t xml:space="preserve">Explicitly hires scientists over finance people; culture match excellent, US-gated</t>
  </si>
  <si>
    <t xml:space="preserve">https://radixtrading.co/</t>
  </si>
  <si>
    <t xml:space="preserve">Bala Cynwyd</t>
  </si>
  <si>
    <t xml:space="preserve">HQ campus</t>
  </si>
  <si>
    <t xml:space="preserve">Vatic Investments</t>
  </si>
  <si>
    <t xml:space="preserve">$280–400k</t>
  </si>
  <si>
    <t xml:space="preserve">Grad pipeline exists</t>
  </si>
  <si>
    <t xml:space="preserve">https://www.vaticlabs.com/</t>
  </si>
  <si>
    <t xml:space="preserve">Voleon</t>
  </si>
  <si>
    <t xml:space="preserve">Berkeley</t>
  </si>
  <si>
    <t xml:space="preserve">$280–380k</t>
  </si>
  <si>
    <t xml:space="preserve">ML-first fund; research-engineer culture fits your pubs</t>
  </si>
  <si>
    <t xml:space="preserve">https://voleon.com/</t>
  </si>
  <si>
    <t xml:space="preserve">Akuna Capital</t>
  </si>
  <si>
    <t xml:space="preserve">$280–370k</t>
  </si>
  <si>
    <t xml:space="preserve">Friendlier bar than top tier; good US safety</t>
  </si>
  <si>
    <t xml:space="preserve">https://akunacapital.com/careers</t>
  </si>
  <si>
    <t xml:space="preserve">US platform seat</t>
  </si>
  <si>
    <t xml:space="preserve">Platform ladder</t>
  </si>
  <si>
    <t xml:space="preserve">C</t>
  </si>
  <si>
    <t xml:space="preserve">Brevan Howard</t>
  </si>
  <si>
    <t xml:space="preserve">Systematic Developer</t>
  </si>
  <si>
    <t xml:space="preserve">Macro-first; systematic minority</t>
  </si>
  <si>
    <t xml:space="preserve">https://www.brevanhoward.com/</t>
  </si>
  <si>
    <t xml:space="preserve">WorldQuant</t>
  </si>
  <si>
    <t xml:space="preserve">CHF 120–180k</t>
  </si>
  <si>
    <t xml:space="preserve">CH permit seat; distributed model, comp below top tier</t>
  </si>
  <si>
    <t xml:space="preserve">https://www.worldquant.com/careers/</t>
  </si>
  <si>
    <t xml:space="preserve">Garda Capital</t>
  </si>
  <si>
    <t xml:space="preserve">FI relative value; rare Swiss research seats</t>
  </si>
  <si>
    <t xml:space="preserve">https://www.gardacp.com/</t>
  </si>
  <si>
    <t xml:space="preserve">Second Swiss seat</t>
  </si>
  <si>
    <t xml:space="preserve">Quantica Capital</t>
  </si>
  <si>
    <t xml:space="preserve">CHF 110–160k</t>
  </si>
  <si>
    <t xml:space="preserve">Small Swiss CTA; quiet, real</t>
  </si>
  <si>
    <t xml:space="preserve">https://www.quantica-capital.com/</t>
  </si>
  <si>
    <t xml:space="preserve">Pfäffikon</t>
  </si>
  <si>
    <t xml:space="preserve">Technology Analyst</t>
  </si>
  <si>
    <t xml:space="preserve">Mostly ops/sales site — thin tech seat, but CH permit makes it free to try</t>
  </si>
  <si>
    <t xml:space="preserve">All Options</t>
  </si>
  <si>
    <t xml:space="preserve">€70–105k</t>
  </si>
  <si>
    <t xml:space="preserve">Mid Amsterdam</t>
  </si>
  <si>
    <t xml:space="preserve">https://alloptions.nl/careers/</t>
  </si>
  <si>
    <t xml:space="preserve">Webb Traders</t>
  </si>
  <si>
    <t xml:space="preserve">€65–100k</t>
  </si>
  <si>
    <t xml:space="preserve">https://www.webbtraders.com/careers</t>
  </si>
  <si>
    <t xml:space="preserve">Winton</t>
  </si>
  <si>
    <t xml:space="preserve">Post-AUM-decline pay</t>
  </si>
  <si>
    <t xml:space="preserve">https://www.winton.com/careers</t>
  </si>
  <si>
    <t xml:space="preserve">Mako</t>
  </si>
  <si>
    <t xml:space="preserve">Mid London options</t>
  </si>
  <si>
    <t xml:space="preserve">https://www.mako.com/careers</t>
  </si>
  <si>
    <t xml:space="preserve">Dymon Asia</t>
  </si>
  <si>
    <t xml:space="preserve">SGD 150–220k</t>
  </si>
  <si>
    <t xml:space="preserve">SG-native multi-strat</t>
  </si>
  <si>
    <t xml:space="preserve">https://www.dymonasia.com/</t>
  </si>
  <si>
    <r>
      <rPr>
        <sz val="9"/>
        <rFont val="Arial"/>
        <family val="0"/>
        <charset val="1"/>
      </rPr>
      <t xml:space="preserve">WizardQuant (</t>
    </r>
    <r>
      <rPr>
        <sz val="9"/>
        <rFont val="Noto Sans CJK SC"/>
        <family val="2"/>
      </rPr>
      <t xml:space="preserve">宽德</t>
    </r>
    <r>
      <rPr>
        <sz val="9"/>
        <rFont val="Arial"/>
        <family val="0"/>
        <charset val="1"/>
      </rPr>
      <t xml:space="preserve">)</t>
    </r>
  </si>
  <si>
    <t xml:space="preserve">HKD 1.0–1.6M</t>
  </si>
  <si>
    <t xml:space="preserve">Offshore entity, papers help</t>
  </si>
  <si>
    <t xml:space="preserve">https://www.wizardquant.com/</t>
  </si>
  <si>
    <r>
      <rPr>
        <sz val="9"/>
        <rFont val="Arial"/>
        <family val="0"/>
        <charset val="1"/>
      </rPr>
      <t xml:space="preserve">Qianxiang Asset (</t>
    </r>
    <r>
      <rPr>
        <sz val="9"/>
        <rFont val="Noto Sans CJK SC"/>
        <family val="2"/>
      </rPr>
      <t xml:space="preserve">千象</t>
    </r>
    <r>
      <rPr>
        <sz val="9"/>
        <rFont val="Arial"/>
        <family val="0"/>
        <charset val="1"/>
      </rPr>
      <t xml:space="preserve">)</t>
    </r>
  </si>
  <si>
    <t xml:space="preserve">HKD 0.9–1.4M</t>
  </si>
  <si>
    <t xml:space="preserve">SFC licence 2024; CTA focus</t>
  </si>
  <si>
    <t xml:space="preserve">https://www.qxfund.com/</t>
  </si>
  <si>
    <t xml:space="preserve">Aquatic Capital</t>
  </si>
  <si>
    <t xml:space="preserve">$250–330k</t>
  </si>
  <si>
    <t xml:space="preserve">~$195k avg QR base filings</t>
  </si>
  <si>
    <t xml:space="preserve">https://www.aquaticcapital.com/</t>
  </si>
  <si>
    <t xml:space="preserve">Chicago Trading Company</t>
  </si>
  <si>
    <t xml:space="preserve">~$208k avg QR base filings</t>
  </si>
  <si>
    <t xml:space="preserve">https://www.chicagotrading.com/careers/</t>
  </si>
  <si>
    <t xml:space="preserve">Arrowstreet Capital</t>
  </si>
  <si>
    <t xml:space="preserve">Boston</t>
  </si>
  <si>
    <t xml:space="preserve">$220–300k</t>
  </si>
  <si>
    <t xml:space="preserve">Academic systematic equity</t>
  </si>
  <si>
    <t xml:space="preserve">https://www.arrowstreetcapital.com/careers/</t>
  </si>
  <si>
    <t xml:space="preserve">Virtu Financial</t>
  </si>
  <si>
    <t xml:space="preserve">Listed, capped; broad hiring</t>
  </si>
  <si>
    <t xml:space="preserve">https://www.virtu.com/careers/</t>
  </si>
  <si>
    <t xml:space="preserve">Wolverine Trading</t>
  </si>
  <si>
    <t xml:space="preserve">Mid prop</t>
  </si>
  <si>
    <t xml:space="preserve">https://www.wolve.com/careers</t>
  </si>
  <si>
    <t xml:space="preserve">Belvedere Trading</t>
  </si>
  <si>
    <t xml:space="preserve">$200–280k</t>
  </si>
  <si>
    <t xml:space="preserve">https://www.belvederetrading.com/careers</t>
  </si>
  <si>
    <r>
      <rPr>
        <sz val="9"/>
        <rFont val="Arial"/>
        <family val="0"/>
        <charset val="1"/>
      </rPr>
      <t xml:space="preserve">Minghong Investment (</t>
    </r>
    <r>
      <rPr>
        <sz val="9"/>
        <rFont val="Noto Sans CJK SC"/>
        <family val="2"/>
      </rPr>
      <t xml:space="preserve">明汯</t>
    </r>
    <r>
      <rPr>
        <sz val="9"/>
        <rFont val="Arial"/>
        <family val="0"/>
        <charset val="1"/>
      </rPr>
      <t xml:space="preserve">)</t>
    </r>
  </si>
  <si>
    <t xml:space="preserve">¥600k–1.2M</t>
  </si>
  <si>
    <t xml:space="preserve">Work permit feasible; Mandarin required</t>
  </si>
  <si>
    <t xml:space="preserve">Top-tier domestic; Mandarin wall</t>
  </si>
  <si>
    <t xml:space="preserve">https://gs.amac.org.cn</t>
  </si>
  <si>
    <r>
      <rPr>
        <sz val="9"/>
        <rFont val="Arial"/>
        <family val="0"/>
        <charset val="1"/>
      </rPr>
      <t xml:space="preserve">Lingjun Investment (</t>
    </r>
    <r>
      <rPr>
        <sz val="9"/>
        <rFont val="Noto Sans CJK SC"/>
        <family val="2"/>
      </rPr>
      <t xml:space="preserve">灵均</t>
    </r>
    <r>
      <rPr>
        <sz val="9"/>
        <rFont val="Arial"/>
        <family val="0"/>
        <charset val="1"/>
      </rPr>
      <t xml:space="preserve">)</t>
    </r>
  </si>
  <si>
    <t xml:space="preserve">+73.5% in 2025 league; Mandarin wall; note 2024 enforcement history</t>
  </si>
  <si>
    <r>
      <rPr>
        <sz val="9"/>
        <rFont val="Arial"/>
        <family val="0"/>
        <charset val="1"/>
      </rPr>
      <t xml:space="preserve">Yanfu Investments (</t>
    </r>
    <r>
      <rPr>
        <sz val="9"/>
        <rFont val="Noto Sans CJK SC"/>
        <family val="2"/>
      </rPr>
      <t xml:space="preserve">衍复</t>
    </r>
    <r>
      <rPr>
        <sz val="9"/>
        <rFont val="Arial"/>
        <family val="0"/>
        <charset val="1"/>
      </rPr>
      <t xml:space="preserve">)</t>
    </r>
  </si>
  <si>
    <t xml:space="preserve">Ex-Two Sigma founder; tiny headcount</t>
  </si>
  <si>
    <t xml:space="preserve">http://www.yanfuinvest.com/</t>
  </si>
  <si>
    <r>
      <rPr>
        <sz val="9"/>
        <rFont val="Arial"/>
        <family val="0"/>
        <charset val="1"/>
      </rPr>
      <t xml:space="preserve">Chengqi Asset (</t>
    </r>
    <r>
      <rPr>
        <sz val="9"/>
        <rFont val="Noto Sans CJK SC"/>
        <family val="2"/>
      </rPr>
      <t xml:space="preserve">诚奇</t>
    </r>
    <r>
      <rPr>
        <sz val="9"/>
        <rFont val="Arial"/>
        <family val="0"/>
        <charset val="1"/>
      </rPr>
      <t xml:space="preserve">)</t>
    </r>
  </si>
  <si>
    <t xml:space="preserve">Shenzhen</t>
  </si>
  <si>
    <t xml:space="preserve">¥500k–1.0M</t>
  </si>
  <si>
    <t xml:space="preserve">Ex-Millennium founder; ML-driven</t>
  </si>
  <si>
    <r>
      <rPr>
        <sz val="9"/>
        <rFont val="Arial"/>
        <family val="0"/>
        <charset val="1"/>
      </rPr>
      <t xml:space="preserve">Century Frontier (</t>
    </r>
    <r>
      <rPr>
        <sz val="9"/>
        <rFont val="Noto Sans CJK SC"/>
        <family val="2"/>
      </rPr>
      <t xml:space="preserve">世纪前沿</t>
    </r>
    <r>
      <rPr>
        <sz val="9"/>
        <rFont val="Arial"/>
        <family val="0"/>
        <charset val="1"/>
      </rPr>
      <t xml:space="preserve">)</t>
    </r>
  </si>
  <si>
    <t xml:space="preserve">¥60–70bn band; Mandarin wall</t>
  </si>
  <si>
    <t xml:space="preserve">D</t>
  </si>
  <si>
    <t xml:space="preserve">Nomura (quant desk)</t>
  </si>
  <si>
    <t xml:space="preserve">Quant Developer</t>
  </si>
  <si>
    <t xml:space="preserve">¥8–13M</t>
  </si>
  <si>
    <t xml:space="preserve">Japanese pay scale — do NOT take over your current job; listed only for completeness</t>
  </si>
  <si>
    <t xml:space="preserve">Entry-level; Japanese business language expected — status fine, language is the gate</t>
  </si>
  <si>
    <t xml:space="preserve">https://www.nomura.com/careers/</t>
  </si>
  <si>
    <t xml:space="preserve">£100–150k</t>
  </si>
  <si>
    <t xml:space="preserve">Pod-shop platform ladder</t>
  </si>
  <si>
    <t xml:space="preserve">Verition</t>
  </si>
  <si>
    <t xml:space="preserve">£95–145k</t>
  </si>
  <si>
    <t xml:space="preserve">https://www.verition.com/</t>
  </si>
  <si>
    <t xml:space="preserve">AQR</t>
  </si>
  <si>
    <t xml:space="preserve">£85–130k</t>
  </si>
  <si>
    <t xml:space="preserve">Below-prop systematic</t>
  </si>
  <si>
    <t xml:space="preserve">https://careers.aqr.com/</t>
  </si>
  <si>
    <t xml:space="preserve">Renaissance Technologies</t>
  </si>
  <si>
    <t xml:space="preserve">East Setauket</t>
  </si>
  <si>
    <t xml:space="preserve">Research Scientist</t>
  </si>
  <si>
    <t xml:space="preserve">top of industry</t>
  </si>
  <si>
    <t xml:space="preserve">PhD-only in practice; not a realistic target</t>
  </si>
  <si>
    <t xml:space="preserve">PhD + research career expected — you do not qualify yet</t>
  </si>
  <si>
    <t xml:space="preserve">https://www.rentec.com/</t>
  </si>
  <si>
    <t xml:space="preserve">TGS Management</t>
  </si>
  <si>
    <t xml:space="preserve">Irvine</t>
  </si>
  <si>
    <t xml:space="preserve">$400k+ reported</t>
  </si>
  <si>
    <t xml:space="preserve">Famously top pay, essentially no public route — do not plan around it</t>
  </si>
  <si>
    <t xml:space="preserve">PhD/olympiad pipeline, no public route — effectively closed</t>
  </si>
  <si>
    <t xml:space="preserve">https://www.tgsmc.com/</t>
  </si>
  <si>
    <t xml:space="preserve">Quant roles ranked for one specific profile — compiled 4 Aug 2026</t>
  </si>
  <si>
    <t xml:space="preserve">PROFILE ASSUMED</t>
  </si>
  <si>
    <t xml:space="preserve">Recent grad (EPFL MSc, Feb 2026), currently employed in Tokyo. First-author papers under review (ICLR x2 area, AAAI), ISCA workshop pub, merged GPU kernels in llama.cpp (100k+ stars), production C++. Dual-track candidate: Quant Research at research-led firms, Quant Dev / ML-performance at latency-led firms.</t>
  </si>
  <si>
    <t xml:space="preserve">WORK AUTHORISATION CODES (yours)</t>
  </si>
  <si>
    <t xml:space="preserve">EU citizen — Paris, Amsterdam, Dublin, Warsaw, Milan: start immediately, no sponsorship.</t>
  </si>
  <si>
    <t xml:space="preserve">CH residence permit — Zurich, Zug, Geneva, Pfäffikon: start immediately. This is rare and makes every Swiss row nearly competition-free for you.</t>
  </si>
  <si>
    <t xml:space="preserve">JP residence — Tokyo rows: you are in-country; competition for the rare technical req is minimal.</t>
  </si>
  <si>
    <t xml:space="preserve">UK HPI — self-sponsored ~3 weeks via EPFL eligibility; costs employer nothing. Say so in applications.</t>
  </si>
  <si>
    <t xml:space="preserve">Sponsorship (HK/SG/AE/CA) — routine at these comp levels.</t>
  </si>
  <si>
    <t xml:space="preserve">US — H-1B lottery or O-1 only. Buy tickets cheaply; do not build the plan on it.</t>
  </si>
  <si>
    <t xml:space="preserve">Mandarin rows — mainland seats are Mandarin-first; 'English-tolerant niche' marks AI-infra/offshore exceptions.</t>
  </si>
  <si>
    <t xml:space="preserve">TIER DEFINITIONS (prestige x pay x fit to your profile)</t>
  </si>
  <si>
    <t xml:space="preserve">S — elite pay AND direct match to your GPU/systems/research profile. Apply first.</t>
  </si>
  <si>
    <t xml:space="preserve">A — top-tier seat with strong odds or a structural advantage for you (visa, papers-read hiring, under-applied office).</t>
  </si>
  <si>
    <t xml:space="preserve">B — good money or a specific strategic reason (Tokyo/Swiss seats you can take frictionlessly, softer doors).</t>
  </si>
  <si>
    <t xml:space="preserve">C — real seats, capped ceiling, or Mandarin wall. Floor options.</t>
  </si>
  <si>
    <t xml:space="preserve">D — completeness only: pod-shop platform ladders, Japanese bank scale, or effectively closed pipelines.</t>
  </si>
  <si>
    <t xml:space="preserve">WHY ZERO PURE TRADER ROWS</t>
  </si>
  <si>
    <t xml:space="preserve">QT interviews select for trained mental-maths speed and market game sense — a different candidate pool you'd enter with no edge. Your edge is engineering+research. Where a firm's best door for you is the tech or research track (e.g. Optiver, SIG), that track is what's listed. Algo Dev / Research Engineer rows are the trader-adjacent seats that fit.</t>
  </si>
  <si>
    <t xml:space="preserve">COMP NOTES</t>
  </si>
  <si>
    <t xml:space="preserve">Figures are year-1 TOTAL comp (base + sign-on + first-year bonus) for new-grad/junior entry, mid-2026. Ranges blend US wage filings, NY intern-pay disclosures, levels.fyi verified reports, and community data (which skews high — discount top ends ~10-15%). London/HK/SG figures converted at Aug-2026 spot. Net differs hugely by jurisdiction: HK ~15% flat, CH ~20-28%, SG ~15-22%, UK ~40-45%, FR ~45-55%. A smaller HK/CH gross can beat a larger London gross net.</t>
  </si>
  <si>
    <t xml:space="preserve">VERIFY BEFORE APPLYING</t>
  </si>
  <si>
    <t xml:space="preserve">Source column links to the firm's own careers page (stable) rather than individual reqs (which churn weekly). Specific openings, exact titles and posted bands change constantly — treat every row as 'confirmed at firm+city level, verify the live req yourself'. Comp aggregators: levels.fyi/companies/&lt;firm&gt;, h1bdata.info. Key secondary source for pay: youngandcalculated.substack.com 'The Detailed and Honest Reality of Quant Pay in 2026'.</t>
  </si>
  <si>
    <t xml:space="preserve">ELIGIBILITY GATE COLUMN (M)</t>
  </si>
  <si>
    <t xml:space="preserve">States what status the target req expects — student-gated, graduation-year window, new-grad, recent-grad-friendly, YoE band, or no formal gate — plus the verdict for YOUR status (Feb-2026 grad, employed, ~15 months experience by a mid-2027 start). Rows marked GATED in red carry verified posting language (HRT: 'full-time student... eligible for full-time roles in &lt;year&gt;'; IMC: 'current student graduating Sep–Jul window') — for those, the play is the firm's experienced/lateral req or a referral past the screen, not the grad req. Where a firm runs both tracks, the verdict names which one to apply to. Gates are re-worded each cycle: re-check the live req's eligibility line before submitting.</t>
  </si>
  <si>
    <t xml:space="preserve">VERIFICATION STATUS COLUMN (O) — ADDED AFTER A CAUGHT ERROR</t>
  </si>
  <si>
    <t xml:space="preserve">An earlier version of this sheet listed Tower Research Tokyo — that office does not exist (Tower's own offices page lists NY, London, Gurugram, Singapore, Amsterdam, Mt Pleasant, Chicago, Dubai, Cayman, GIFT City, Hong Kong, Montreal, Paris, Shanghai — no Tokyo). Two other weakly-sourced rows (Tensor Zug, Modular Singapore) were removed at the same time. Every remaining row now carries a status: 'Verified — primary source' means the firm's own site, posting, or a regulator page was checked during this research; 'Reported' means secondary press/community sourcing — the office almost certainly exists but CONFIRM IT YOURSELF before spending an application. Mainland-China rows point to the official AMAC manager registry (gs.amac.org.cn) rather than guessed firm domains. Rows most worth double-checking before applying: Citadel Securities Zurich, Squarepoint Geneva, Schonfeld Zurich, Millennium Paris, and all offshore entities of Chinese managers.</t>
  </si>
  <si>
    <t xml:space="preserve">These are REPRESENTATIVE requirement summaries for that firm and track, compiled from current-cycle postings, firm careers pages and verified reporting — NOT verbatim scrapes of 148 live reqs (individual postings churn weekly and differ per office). Rows for HRT, Jane Street, XTX, G-Research, Ubiquant, High-Flyer, CFM, Optiver and GS Strats reflect firm-specific posting language I verified; remaining rows carry the standard requirement set for that track at that firm tier. Always read the live req's own bullet list before tailoring your CV to it.</t>
  </si>
  <si>
    <t xml:space="preserve">HOW TO USE</t>
  </si>
  <si>
    <t xml:space="preserve">Filter column K to 'start immediately' rows first — that is your zero-friction list (EU+CH+JP). Then UK. Then sponsorship. US rows are lottery tickets. Within each visa band, send in rank order. One application per firm-location; the role listed is the single best-suited req category for you there.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</si>
</sst>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F5F58"/>
      <name val="Arial"/>
      <family val="0"/>
      <charset val="1"/>
    </font>
    <font>
      <b val="true"/>
      <sz val="9"/>
      <color rgb="FFB32821"/>
      <name val="Arial"/>
      <family val="0"/>
      <charset val="1"/>
    </font>
    <font>
      <sz val="8"/>
      <color rgb="FFB8811A"/>
      <name val="Arial"/>
      <family val="0"/>
      <charset val="1"/>
    </font>
    <font>
      <u val="single"/>
      <sz val="8"/>
      <color rgb="FF1155CC"/>
      <name val="Arial"/>
      <family val="0"/>
      <charset val="1"/>
    </font>
    <font>
      <sz val="9"/>
      <color rgb="FF0F5F58"/>
      <name val="Arial"/>
      <family val="0"/>
      <charset val="1"/>
    </font>
    <font>
      <b val="true"/>
      <sz val="8"/>
      <color rgb="FF0F5F58"/>
      <name val="Arial"/>
      <family val="0"/>
      <charset val="1"/>
    </font>
    <font>
      <sz val="9"/>
      <color rgb="FF1D4ED8"/>
      <name val="Arial"/>
      <family val="0"/>
      <charset val="1"/>
    </font>
    <font>
      <sz val="9"/>
      <color rgb="FFB32821"/>
      <name val="Arial"/>
      <family val="0"/>
      <charset val="1"/>
    </font>
    <font>
      <sz val="9"/>
      <name val="Noto Sans CJK SC"/>
      <family val="2"/>
    </font>
    <font>
      <b val="true"/>
      <sz val="9"/>
      <color rgb="FF37415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5F58"/>
        <bgColor rgb="FF008080"/>
      </patternFill>
    </fill>
    <fill>
      <patternFill patternType="solid">
        <fgColor rgb="FF2E7D74"/>
        <bgColor rgb="FF008080"/>
      </patternFill>
    </fill>
    <fill>
      <patternFill patternType="solid">
        <fgColor rgb="FFB8811A"/>
        <bgColor rgb="FFFF9900"/>
      </patternFill>
    </fill>
    <fill>
      <patternFill patternType="solid">
        <fgColor rgb="FF8A97A5"/>
        <bgColor rgb="FF808080"/>
      </patternFill>
    </fill>
    <fill>
      <patternFill patternType="solid">
        <fgColor rgb="FFC0C7D0"/>
        <bgColor rgb="FFC9CF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5F58"/>
          <bgColor rgb="FF000000"/>
        </patternFill>
      </fill>
    </dxf>
    <dxf>
      <fill>
        <patternFill patternType="solid">
          <fgColor rgb="FF2E7D74"/>
          <bgColor rgb="FF000000"/>
        </patternFill>
      </fill>
    </dxf>
    <dxf>
      <fill>
        <patternFill patternType="solid">
          <fgColor rgb="FF8A97A5"/>
          <bgColor rgb="FF000000"/>
        </patternFill>
      </fill>
    </dxf>
    <dxf>
      <fill>
        <patternFill patternType="solid">
          <fgColor rgb="FFB8811A"/>
          <bgColor rgb="FF000000"/>
        </patternFill>
      </fill>
    </dxf>
    <dxf>
      <fill>
        <patternFill patternType="solid">
          <fgColor rgb="FFC0C7D0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B32821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11A"/>
      <rgbColor rgb="FF800080"/>
      <rgbColor rgb="FF0F5F58"/>
      <rgbColor rgb="FFC0C7D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D4ED8"/>
      <rgbColor rgb="FF33CCCC"/>
      <rgbColor rgb="FF99CC00"/>
      <rgbColor rgb="FFFFCC00"/>
      <rgbColor rgb="FFFF9900"/>
      <rgbColor rgb="FFFF6600"/>
      <rgbColor rgb="FF666699"/>
      <rgbColor rgb="FF8A97A5"/>
      <rgbColor rgb="FF003366"/>
      <rgbColor rgb="FF2E7D74"/>
      <rgbColor rgb="FF003300"/>
      <rgbColor rgb="FF333300"/>
      <rgbColor rgb="FFB32821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udsonrivertrading.com/careers/" TargetMode="External"/><Relationship Id="rId2" Type="http://schemas.openxmlformats.org/officeDocument/2006/relationships/hyperlink" Target="https://www.xtxmarkets.com/careers/" TargetMode="External"/><Relationship Id="rId3" Type="http://schemas.openxmlformats.org/officeDocument/2006/relationships/hyperlink" Target="https://www.janestreet.com/join-jane-street/open-roles/" TargetMode="External"/><Relationship Id="rId4" Type="http://schemas.openxmlformats.org/officeDocument/2006/relationships/hyperlink" Target="https://www.jumptrading.com/careers/" TargetMode="External"/><Relationship Id="rId5" Type="http://schemas.openxmlformats.org/officeDocument/2006/relationships/hyperlink" Target="https://www.janestreet.com/join-jane-street/open-roles/" TargetMode="External"/><Relationship Id="rId6" Type="http://schemas.openxmlformats.org/officeDocument/2006/relationships/hyperlink" Target="https://www.xtxmarkets.com/careers/" TargetMode="External"/><Relationship Id="rId7" Type="http://schemas.openxmlformats.org/officeDocument/2006/relationships/hyperlink" Target="https://www.hudsonrivertrading.com/careers/" TargetMode="External"/><Relationship Id="rId8" Type="http://schemas.openxmlformats.org/officeDocument/2006/relationships/hyperlink" Target="https://www.jumptrading.com/careers/" TargetMode="External"/><Relationship Id="rId9" Type="http://schemas.openxmlformats.org/officeDocument/2006/relationships/hyperlink" Target="https://www.gresearch.com/vacancies/" TargetMode="External"/><Relationship Id="rId10" Type="http://schemas.openxmlformats.org/officeDocument/2006/relationships/hyperlink" Target="https://www.levels.fyi/companies/jane-street/salaries" TargetMode="External"/><Relationship Id="rId11" Type="http://schemas.openxmlformats.org/officeDocument/2006/relationships/hyperlink" Target="https://www.janestreet.com/join-jane-street/open-roles/" TargetMode="External"/><Relationship Id="rId12" Type="http://schemas.openxmlformats.org/officeDocument/2006/relationships/hyperlink" Target="https://www.hudsonrivertrading.com/careers/" TargetMode="External"/><Relationship Id="rId13" Type="http://schemas.openxmlformats.org/officeDocument/2006/relationships/hyperlink" Target="https://www.jumptrading.com/careers/" TargetMode="External"/><Relationship Id="rId14" Type="http://schemas.openxmlformats.org/officeDocument/2006/relationships/hyperlink" Target="https://www.xtxmarkets.com/careers/" TargetMode="External"/><Relationship Id="rId15" Type="http://schemas.openxmlformats.org/officeDocument/2006/relationships/hyperlink" Target="https://www.janestreet.com/join-jane-street/open-roles/" TargetMode="External"/><Relationship Id="rId16" Type="http://schemas.openxmlformats.org/officeDocument/2006/relationships/hyperlink" Target="https://www.janestreet.com/join-jane-street/open-roles/" TargetMode="External"/><Relationship Id="rId17" Type="http://schemas.openxmlformats.org/officeDocument/2006/relationships/hyperlink" Target="https://www.hudsonrivertrading.com/careers/" TargetMode="External"/><Relationship Id="rId18" Type="http://schemas.openxmlformats.org/officeDocument/2006/relationships/hyperlink" Target="https://www.hudsonrivertrading.com/careers/" TargetMode="External"/><Relationship Id="rId19" Type="http://schemas.openxmlformats.org/officeDocument/2006/relationships/hyperlink" Target="https://www.hudsonrivertrading.com/careers/" TargetMode="External"/><Relationship Id="rId20" Type="http://schemas.openxmlformats.org/officeDocument/2006/relationships/hyperlink" Target="https://www.jumptrading.com/careers/" TargetMode="External"/><Relationship Id="rId21" Type="http://schemas.openxmlformats.org/officeDocument/2006/relationships/hyperlink" Target="https://www.xtxmarkets.com/careers/" TargetMode="External"/><Relationship Id="rId22" Type="http://schemas.openxmlformats.org/officeDocument/2006/relationships/hyperlink" Target="https://www.gresearch.com/vacancies/" TargetMode="External"/><Relationship Id="rId23" Type="http://schemas.openxmlformats.org/officeDocument/2006/relationships/hyperlink" Target="https://www.citadelsecurities.com/careers/" TargetMode="External"/><Relationship Id="rId24" Type="http://schemas.openxmlformats.org/officeDocument/2006/relationships/hyperlink" Target="https://careers.imc.com/" TargetMode="External"/><Relationship Id="rId25" Type="http://schemas.openxmlformats.org/officeDocument/2006/relationships/hyperlink" Target="https://www.squarepoint-capital.com/careers" TargetMode="External"/><Relationship Id="rId26" Type="http://schemas.openxmlformats.org/officeDocument/2006/relationships/hyperlink" Target="https://www.qube-rt.com/careers/" TargetMode="External"/><Relationship Id="rId27" Type="http://schemas.openxmlformats.org/officeDocument/2006/relationships/hyperlink" Target="https://www.drw.com/work-at-drw" TargetMode="External"/><Relationship Id="rId28" Type="http://schemas.openxmlformats.org/officeDocument/2006/relationships/hyperlink" Target="https://tower-research.com/offices/" TargetMode="External"/><Relationship Id="rId29" Type="http://schemas.openxmlformats.org/officeDocument/2006/relationships/hyperlink" Target="https://tower-research.com/offices/" TargetMode="External"/><Relationship Id="rId30" Type="http://schemas.openxmlformats.org/officeDocument/2006/relationships/hyperlink" Target="https://careers.imc.com/" TargetMode="External"/><Relationship Id="rId31" Type="http://schemas.openxmlformats.org/officeDocument/2006/relationships/hyperlink" Target="https://optiver.com/working-at-optiver/career-opportunities/" TargetMode="External"/><Relationship Id="rId32" Type="http://schemas.openxmlformats.org/officeDocument/2006/relationships/hyperlink" Target="https://www.citadelsecurities.com/careers/" TargetMode="External"/><Relationship Id="rId33" Type="http://schemas.openxmlformats.org/officeDocument/2006/relationships/hyperlink" Target="https://www.squarepoint-capital.com/careers" TargetMode="External"/><Relationship Id="rId34" Type="http://schemas.openxmlformats.org/officeDocument/2006/relationships/hyperlink" Target="https://careers.twosigma.com/" TargetMode="External"/><Relationship Id="rId35" Type="http://schemas.openxmlformats.org/officeDocument/2006/relationships/hyperlink" Target="https://www.cfm.com/careers/" TargetMode="External"/><Relationship Id="rId36" Type="http://schemas.openxmlformats.org/officeDocument/2006/relationships/hyperlink" Target="https://quadrature.ai/" TargetMode="External"/><Relationship Id="rId37" Type="http://schemas.openxmlformats.org/officeDocument/2006/relationships/hyperlink" Target="https://www.citadelsecurities.com/careers/" TargetMode="External"/><Relationship Id="rId38" Type="http://schemas.openxmlformats.org/officeDocument/2006/relationships/hyperlink" Target="https://www.qube-rt.com/careers/" TargetMode="External"/><Relationship Id="rId39" Type="http://schemas.openxmlformats.org/officeDocument/2006/relationships/hyperlink" Target="https://careers.twosigma.com/" TargetMode="External"/><Relationship Id="rId40" Type="http://schemas.openxmlformats.org/officeDocument/2006/relationships/hyperlink" Target="https://www.drw.com/work-at-drw" TargetMode="External"/><Relationship Id="rId41" Type="http://schemas.openxmlformats.org/officeDocument/2006/relationships/hyperlink" Target="https://tower-research.com/offices/" TargetMode="External"/><Relationship Id="rId42" Type="http://schemas.openxmlformats.org/officeDocument/2006/relationships/hyperlink" Target="https://www.deshaw.com/careers" TargetMode="External"/><Relationship Id="rId43" Type="http://schemas.openxmlformats.org/officeDocument/2006/relationships/hyperlink" Target="https://www.cfm.com/careers/" TargetMode="External"/><Relationship Id="rId44" Type="http://schemas.openxmlformats.org/officeDocument/2006/relationships/hyperlink" Target="https://www.squarepoint-capital.com/careers" TargetMode="External"/><Relationship Id="rId45" Type="http://schemas.openxmlformats.org/officeDocument/2006/relationships/hyperlink" Target="https://www.adia.ae/en/careers" TargetMode="External"/><Relationship Id="rId46" Type="http://schemas.openxmlformats.org/officeDocument/2006/relationships/hyperlink" Target="https://www.citadelsecurities.com/careers/" TargetMode="External"/><Relationship Id="rId47" Type="http://schemas.openxmlformats.org/officeDocument/2006/relationships/hyperlink" Target="https://www.qube-rt.com/careers/" TargetMode="External"/><Relationship Id="rId48" Type="http://schemas.openxmlformats.org/officeDocument/2006/relationships/hyperlink" Target="https://tower-research.com/offices/" TargetMode="External"/><Relationship Id="rId49" Type="http://schemas.openxmlformats.org/officeDocument/2006/relationships/hyperlink" Target="https://www.citadelsecurities.com/careers/" TargetMode="External"/><Relationship Id="rId50" Type="http://schemas.openxmlformats.org/officeDocument/2006/relationships/hyperlink" Target="https://www.deshaw.com/careers" TargetMode="External"/><Relationship Id="rId51" Type="http://schemas.openxmlformats.org/officeDocument/2006/relationships/hyperlink" Target="https://careers.imc.com/" TargetMode="External"/><Relationship Id="rId52" Type="http://schemas.openxmlformats.org/officeDocument/2006/relationships/hyperlink" Target="https://tower-research.com/offices/" TargetMode="External"/><Relationship Id="rId53" Type="http://schemas.openxmlformats.org/officeDocument/2006/relationships/hyperlink" Target="https://www.qube-rt.com/careers/" TargetMode="External"/><Relationship Id="rId54" Type="http://schemas.openxmlformats.org/officeDocument/2006/relationships/hyperlink" Target="https://www.drw.com/work-at-drw" TargetMode="External"/><Relationship Id="rId55" Type="http://schemas.openxmlformats.org/officeDocument/2006/relationships/hyperlink" Target="https://www.squarepoint-capital.com/careers" TargetMode="External"/><Relationship Id="rId56" Type="http://schemas.openxmlformats.org/officeDocument/2006/relationships/hyperlink" Target="https://www.drw.com/work-at-drw" TargetMode="External"/><Relationship Id="rId57" Type="http://schemas.openxmlformats.org/officeDocument/2006/relationships/hyperlink" Target="https://www.ubiquant.com/" TargetMode="External"/><Relationship Id="rId58" Type="http://schemas.openxmlformats.org/officeDocument/2006/relationships/hyperlink" Target="https://www.ubiquant.com/" TargetMode="External"/><Relationship Id="rId59" Type="http://schemas.openxmlformats.org/officeDocument/2006/relationships/hyperlink" Target="https://www.high-flyer.cn/" TargetMode="External"/><Relationship Id="rId60" Type="http://schemas.openxmlformats.org/officeDocument/2006/relationships/hyperlink" Target="https://www.high-flyer.cn/" TargetMode="External"/><Relationship Id="rId61" Type="http://schemas.openxmlformats.org/officeDocument/2006/relationships/hyperlink" Target="https://fiverings.com/" TargetMode="External"/><Relationship Id="rId62" Type="http://schemas.openxmlformats.org/officeDocument/2006/relationships/hyperlink" Target="https://www.citadelsecurities.com/careers/" TargetMode="External"/><Relationship Id="rId63" Type="http://schemas.openxmlformats.org/officeDocument/2006/relationships/hyperlink" Target="https://www.citadelsecurities.com/careers/" TargetMode="External"/><Relationship Id="rId64" Type="http://schemas.openxmlformats.org/officeDocument/2006/relationships/hyperlink" Target="https://www.citadelsecurities.com/careers/" TargetMode="External"/><Relationship Id="rId65" Type="http://schemas.openxmlformats.org/officeDocument/2006/relationships/hyperlink" Target="https://careers.imc.com/" TargetMode="External"/><Relationship Id="rId66" Type="http://schemas.openxmlformats.org/officeDocument/2006/relationships/hyperlink" Target="https://www.citadelsecurities.com/careers/" TargetMode="External"/><Relationship Id="rId67" Type="http://schemas.openxmlformats.org/officeDocument/2006/relationships/hyperlink" Target="https://www.drw.com/work-at-drw" TargetMode="External"/><Relationship Id="rId68" Type="http://schemas.openxmlformats.org/officeDocument/2006/relationships/hyperlink" Target="https://careers.twosigma.com/" TargetMode="External"/><Relationship Id="rId69" Type="http://schemas.openxmlformats.org/officeDocument/2006/relationships/hyperlink" Target="https://optiver.com/working-at-optiver/career-opportunities/" TargetMode="External"/><Relationship Id="rId70" Type="http://schemas.openxmlformats.org/officeDocument/2006/relationships/hyperlink" Target="https://tower-research.com/offices/" TargetMode="External"/><Relationship Id="rId71" Type="http://schemas.openxmlformats.org/officeDocument/2006/relationships/hyperlink" Target="https://www.deshaw.com/careers" TargetMode="External"/><Relationship Id="rId72" Type="http://schemas.openxmlformats.org/officeDocument/2006/relationships/hyperlink" Target="https://optiver.com/working-at-optiver/career-opportunities/" TargetMode="External"/><Relationship Id="rId73" Type="http://schemas.openxmlformats.org/officeDocument/2006/relationships/hyperlink" Target="https://www.squarepoint-capital.com/careers" TargetMode="External"/><Relationship Id="rId74" Type="http://schemas.openxmlformats.org/officeDocument/2006/relationships/hyperlink" Target="https://www.cfm.com/careers/" TargetMode="External"/><Relationship Id="rId75" Type="http://schemas.openxmlformats.org/officeDocument/2006/relationships/hyperlink" Target="https://www.mlp.com/careers/" TargetMode="External"/><Relationship Id="rId76" Type="http://schemas.openxmlformats.org/officeDocument/2006/relationships/hyperlink" Target="https://www.systematica.com/" TargetMode="External"/><Relationship Id="rId77" Type="http://schemas.openxmlformats.org/officeDocument/2006/relationships/hyperlink" Target="https://www.schonfeld.com/careers" TargetMode="External"/><Relationship Id="rId78" Type="http://schemas.openxmlformats.org/officeDocument/2006/relationships/hyperlink" Target="https://www.headlandstech.com/" TargetMode="External"/><Relationship Id="rId79" Type="http://schemas.openxmlformats.org/officeDocument/2006/relationships/hyperlink" Target="https://careers.sig.com/" TargetMode="External"/><Relationship Id="rId80" Type="http://schemas.openxmlformats.org/officeDocument/2006/relationships/hyperlink" Target="https://www.oldmissioncapital.com/" TargetMode="External"/><Relationship Id="rId81" Type="http://schemas.openxmlformats.org/officeDocument/2006/relationships/hyperlink" Target="https://careers.point72.com/" TargetMode="External"/><Relationship Id="rId82" Type="http://schemas.openxmlformats.org/officeDocument/2006/relationships/hyperlink" Target="https://www.mlp.com/careers/" TargetMode="External"/><Relationship Id="rId83" Type="http://schemas.openxmlformats.org/officeDocument/2006/relationships/hyperlink" Target="https://www.bamfunds.com/careers" TargetMode="External"/><Relationship Id="rId84" Type="http://schemas.openxmlformats.org/officeDocument/2006/relationships/hyperlink" Target="https://www.mlp.com/careers/" TargetMode="External"/><Relationship Id="rId85" Type="http://schemas.openxmlformats.org/officeDocument/2006/relationships/hyperlink" Target="https://careers.point72.com/" TargetMode="External"/><Relationship Id="rId86" Type="http://schemas.openxmlformats.org/officeDocument/2006/relationships/hyperlink" Target="https://davinciderivatives.com/" TargetMode="External"/><Relationship Id="rId87" Type="http://schemas.openxmlformats.org/officeDocument/2006/relationships/hyperlink" Target="https://www.flowtraders.com/careers" TargetMode="External"/><Relationship Id="rId88" Type="http://schemas.openxmlformats.org/officeDocument/2006/relationships/hyperlink" Target="https://careers.point72.com/" TargetMode="External"/><Relationship Id="rId89" Type="http://schemas.openxmlformats.org/officeDocument/2006/relationships/hyperlink" Target="https://www.exoduspoint.com/" TargetMode="External"/><Relationship Id="rId90" Type="http://schemas.openxmlformats.org/officeDocument/2006/relationships/hyperlink" Target="https://www.goldmansachs.com/careers/" TargetMode="External"/><Relationship Id="rId91" Type="http://schemas.openxmlformats.org/officeDocument/2006/relationships/hyperlink" Target="https://www.goldmansachs.com/careers/" TargetMode="External"/><Relationship Id="rId92" Type="http://schemas.openxmlformats.org/officeDocument/2006/relationships/hyperlink" Target="https://www.wintermute.com/careers" TargetMode="External"/><Relationship Id="rId93" Type="http://schemas.openxmlformats.org/officeDocument/2006/relationships/hyperlink" Target="https://careers.point72.com/" TargetMode="External"/><Relationship Id="rId94" Type="http://schemas.openxmlformats.org/officeDocument/2006/relationships/hyperlink" Target="https://www.mlp.com/careers/" TargetMode="External"/><Relationship Id="rId95" Type="http://schemas.openxmlformats.org/officeDocument/2006/relationships/hyperlink" Target="https://www.mavensecurities.com/careers/" TargetMode="External"/><Relationship Id="rId96" Type="http://schemas.openxmlformats.org/officeDocument/2006/relationships/hyperlink" Target="https://www.mwam.com/" TargetMode="External"/><Relationship Id="rId97" Type="http://schemas.openxmlformats.org/officeDocument/2006/relationships/hyperlink" Target="https://www.bamfunds.com/careers" TargetMode="External"/><Relationship Id="rId98" Type="http://schemas.openxmlformats.org/officeDocument/2006/relationships/hyperlink" Target="https://www.mingshiim.com/" TargetMode="External"/><Relationship Id="rId99" Type="http://schemas.openxmlformats.org/officeDocument/2006/relationships/hyperlink" Target="https://www.man.com/careers" TargetMode="External"/><Relationship Id="rId100" Type="http://schemas.openxmlformats.org/officeDocument/2006/relationships/hyperlink" Target="https://careers.sig.com/" TargetMode="External"/><Relationship Id="rId101" Type="http://schemas.openxmlformats.org/officeDocument/2006/relationships/hyperlink" Target="https://www.eclipsetrading.com/careers" TargetMode="External"/><Relationship Id="rId102" Type="http://schemas.openxmlformats.org/officeDocument/2006/relationships/hyperlink" Target="https://www.mavensecurities.com/careers/" TargetMode="External"/><Relationship Id="rId103" Type="http://schemas.openxmlformats.org/officeDocument/2006/relationships/hyperlink" Target="https://www.quantedge.com/" TargetMode="External"/><Relationship Id="rId104" Type="http://schemas.openxmlformats.org/officeDocument/2006/relationships/hyperlink" Target="https://grasshopperasia.com/" TargetMode="External"/><Relationship Id="rId105" Type="http://schemas.openxmlformats.org/officeDocument/2006/relationships/hyperlink" Target="https://www.squarepoint-capital.com/careers" TargetMode="External"/><Relationship Id="rId106" Type="http://schemas.openxmlformats.org/officeDocument/2006/relationships/hyperlink" Target="https://www.blackwingam.com/" TargetMode="External"/><Relationship Id="rId107" Type="http://schemas.openxmlformats.org/officeDocument/2006/relationships/hyperlink" Target="https://pdtpartners.com/" TargetMode="External"/><Relationship Id="rId108" Type="http://schemas.openxmlformats.org/officeDocument/2006/relationships/hyperlink" Target="https://radixtrading.co/" TargetMode="External"/><Relationship Id="rId109" Type="http://schemas.openxmlformats.org/officeDocument/2006/relationships/hyperlink" Target="https://www.headlandstech.com/" TargetMode="External"/><Relationship Id="rId110" Type="http://schemas.openxmlformats.org/officeDocument/2006/relationships/hyperlink" Target="https://careers.sig.com/" TargetMode="External"/><Relationship Id="rId111" Type="http://schemas.openxmlformats.org/officeDocument/2006/relationships/hyperlink" Target="https://www.vaticlabs.com/" TargetMode="External"/><Relationship Id="rId112" Type="http://schemas.openxmlformats.org/officeDocument/2006/relationships/hyperlink" Target="https://voleon.com/" TargetMode="External"/><Relationship Id="rId113" Type="http://schemas.openxmlformats.org/officeDocument/2006/relationships/hyperlink" Target="https://www.oldmissioncapital.com/" TargetMode="External"/><Relationship Id="rId114" Type="http://schemas.openxmlformats.org/officeDocument/2006/relationships/hyperlink" Target="https://akunacapital.com/careers" TargetMode="External"/><Relationship Id="rId115" Type="http://schemas.openxmlformats.org/officeDocument/2006/relationships/hyperlink" Target="https://careers.point72.com/" TargetMode="External"/><Relationship Id="rId116" Type="http://schemas.openxmlformats.org/officeDocument/2006/relationships/hyperlink" Target="https://www.mlp.com/careers/" TargetMode="External"/><Relationship Id="rId117" Type="http://schemas.openxmlformats.org/officeDocument/2006/relationships/hyperlink" Target="https://www.brevanhoward.com/" TargetMode="External"/><Relationship Id="rId118" Type="http://schemas.openxmlformats.org/officeDocument/2006/relationships/hyperlink" Target="https://www.worldquant.com/careers/" TargetMode="External"/><Relationship Id="rId119" Type="http://schemas.openxmlformats.org/officeDocument/2006/relationships/hyperlink" Target="https://www.gardacp.com/" TargetMode="External"/><Relationship Id="rId120" Type="http://schemas.openxmlformats.org/officeDocument/2006/relationships/hyperlink" Target="https://www.gardacp.com/" TargetMode="External"/><Relationship Id="rId121" Type="http://schemas.openxmlformats.org/officeDocument/2006/relationships/hyperlink" Target="https://www.quantica-capital.com/" TargetMode="External"/><Relationship Id="rId122" Type="http://schemas.openxmlformats.org/officeDocument/2006/relationships/hyperlink" Target="https://www.man.com/careers" TargetMode="External"/><Relationship Id="rId123" Type="http://schemas.openxmlformats.org/officeDocument/2006/relationships/hyperlink" Target="https://alloptions.nl/careers/" TargetMode="External"/><Relationship Id="rId124" Type="http://schemas.openxmlformats.org/officeDocument/2006/relationships/hyperlink" Target="https://www.webbtraders.com/careers" TargetMode="External"/><Relationship Id="rId125" Type="http://schemas.openxmlformats.org/officeDocument/2006/relationships/hyperlink" Target="https://www.winton.com/careers" TargetMode="External"/><Relationship Id="rId126" Type="http://schemas.openxmlformats.org/officeDocument/2006/relationships/hyperlink" Target="https://www.mako.com/careers" TargetMode="External"/><Relationship Id="rId127" Type="http://schemas.openxmlformats.org/officeDocument/2006/relationships/hyperlink" Target="https://www.dymonasia.com/" TargetMode="External"/><Relationship Id="rId128" Type="http://schemas.openxmlformats.org/officeDocument/2006/relationships/hyperlink" Target="https://www.wizardquant.com/" TargetMode="External"/><Relationship Id="rId129" Type="http://schemas.openxmlformats.org/officeDocument/2006/relationships/hyperlink" Target="https://www.qxfund.com/" TargetMode="External"/><Relationship Id="rId130" Type="http://schemas.openxmlformats.org/officeDocument/2006/relationships/hyperlink" Target="https://www.aquaticcapital.com/" TargetMode="External"/><Relationship Id="rId131" Type="http://schemas.openxmlformats.org/officeDocument/2006/relationships/hyperlink" Target="https://www.chicagotrading.com/careers/" TargetMode="External"/><Relationship Id="rId132" Type="http://schemas.openxmlformats.org/officeDocument/2006/relationships/hyperlink" Target="https://www.arrowstreetcapital.com/careers/" TargetMode="External"/><Relationship Id="rId133" Type="http://schemas.openxmlformats.org/officeDocument/2006/relationships/hyperlink" Target="https://www.virtu.com/careers/" TargetMode="External"/><Relationship Id="rId134" Type="http://schemas.openxmlformats.org/officeDocument/2006/relationships/hyperlink" Target="https://www.wolve.com/careers" TargetMode="External"/><Relationship Id="rId135" Type="http://schemas.openxmlformats.org/officeDocument/2006/relationships/hyperlink" Target="https://www.belvederetrading.com/careers" TargetMode="External"/><Relationship Id="rId136" Type="http://schemas.openxmlformats.org/officeDocument/2006/relationships/hyperlink" Target="https://gs.amac.org.cn/" TargetMode="External"/><Relationship Id="rId137" Type="http://schemas.openxmlformats.org/officeDocument/2006/relationships/hyperlink" Target="https://gs.amac.org.cn/" TargetMode="External"/><Relationship Id="rId138" Type="http://schemas.openxmlformats.org/officeDocument/2006/relationships/hyperlink" Target="http://www.yanfuinvest.com/" TargetMode="External"/><Relationship Id="rId139" Type="http://schemas.openxmlformats.org/officeDocument/2006/relationships/hyperlink" Target="https://gs.amac.org.cn/" TargetMode="External"/><Relationship Id="rId140" Type="http://schemas.openxmlformats.org/officeDocument/2006/relationships/hyperlink" Target="https://gs.amac.org.cn/" TargetMode="External"/><Relationship Id="rId141" Type="http://schemas.openxmlformats.org/officeDocument/2006/relationships/hyperlink" Target="https://www.nomura.com/careers/" TargetMode="External"/><Relationship Id="rId142" Type="http://schemas.openxmlformats.org/officeDocument/2006/relationships/hyperlink" Target="https://www.schonfeld.com/careers" TargetMode="External"/><Relationship Id="rId143" Type="http://schemas.openxmlformats.org/officeDocument/2006/relationships/hyperlink" Target="https://www.exoduspoint.com/" TargetMode="External"/><Relationship Id="rId144" Type="http://schemas.openxmlformats.org/officeDocument/2006/relationships/hyperlink" Target="https://www.verition.com/" TargetMode="External"/><Relationship Id="rId145" Type="http://schemas.openxmlformats.org/officeDocument/2006/relationships/hyperlink" Target="https://careers.aqr.com/" TargetMode="External"/><Relationship Id="rId146" Type="http://schemas.openxmlformats.org/officeDocument/2006/relationships/hyperlink" Target="https://www.rentec.com/" TargetMode="External"/><Relationship Id="rId147" Type="http://schemas.openxmlformats.org/officeDocument/2006/relationships/hyperlink" Target="https://www.tgsmc.com/" TargetMode="External"/><Relationship Id="rId14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10" min="8" style="0" width="10"/>
    <col collapsed="false" customWidth="true" hidden="false" outlineLevel="0" max="11" min="11" style="0" width="36"/>
    <col collapsed="false" customWidth="true" hidden="false" outlineLevel="0" max="12" min="12" style="0" width="44"/>
    <col collapsed="false" customWidth="true" hidden="false" outlineLevel="0" max="13" min="13" style="0" width="46"/>
    <col collapsed="false" customWidth="true" hidden="false" outlineLevel="0" max="14" min="14" style="0" width="52"/>
    <col collapsed="false" customWidth="true" hidden="false" outlineLevel="0" max="15" min="15" style="0" width="18"/>
    <col collapsed="false" customWidth="true" hidden="false" outlineLevel="0" max="16" min="16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64.15" hidden="false" customHeight="false" outlineLevel="0" collapsed="false">
      <c r="A2" s="2" t="n">
        <f aca="false">ROW()-1</f>
        <v>1</v>
      </c>
      <c r="B2" s="3" t="s">
        <v>16</v>
      </c>
      <c r="C2" s="2" t="s">
        <v>17</v>
      </c>
      <c r="D2" s="2" t="s">
        <v>18</v>
      </c>
      <c r="E2" s="4" t="s">
        <v>19</v>
      </c>
      <c r="F2" s="2" t="s">
        <v>20</v>
      </c>
      <c r="G2" s="4" t="s">
        <v>21</v>
      </c>
      <c r="H2" s="5" t="n">
        <v>130</v>
      </c>
      <c r="I2" s="5" t="n">
        <v>195</v>
      </c>
      <c r="J2" s="5" t="n">
        <f aca="false">(H2+I2)/2</f>
        <v>162.5</v>
      </c>
      <c r="K2" s="6" t="s">
        <v>22</v>
      </c>
      <c r="L2" s="4" t="s">
        <v>23</v>
      </c>
      <c r="M2" s="7" t="s">
        <v>24</v>
      </c>
      <c r="N2" s="4" t="s">
        <v>25</v>
      </c>
      <c r="O2" s="8" t="s">
        <v>26</v>
      </c>
      <c r="P2" s="9" t="s">
        <v>27</v>
      </c>
    </row>
    <row r="3" customFormat="false" ht="43.25" hidden="false" customHeight="false" outlineLevel="0" collapsed="false">
      <c r="A3" s="2" t="n">
        <f aca="false">ROW()-1</f>
        <v>2</v>
      </c>
      <c r="B3" s="3" t="s">
        <v>16</v>
      </c>
      <c r="C3" s="2" t="s">
        <v>28</v>
      </c>
      <c r="D3" s="2" t="s">
        <v>29</v>
      </c>
      <c r="E3" s="4" t="s">
        <v>30</v>
      </c>
      <c r="F3" s="2" t="s">
        <v>31</v>
      </c>
      <c r="G3" s="4" t="s">
        <v>32</v>
      </c>
      <c r="H3" s="5" t="n">
        <v>120</v>
      </c>
      <c r="I3" s="5" t="n">
        <v>195</v>
      </c>
      <c r="J3" s="5" t="n">
        <f aca="false">(H3+I3)/2</f>
        <v>157.5</v>
      </c>
      <c r="K3" s="6" t="s">
        <v>22</v>
      </c>
      <c r="L3" s="4" t="s">
        <v>33</v>
      </c>
      <c r="M3" s="10" t="s">
        <v>34</v>
      </c>
      <c r="N3" s="4" t="s">
        <v>35</v>
      </c>
      <c r="O3" s="11" t="s">
        <v>36</v>
      </c>
      <c r="P3" s="9" t="s">
        <v>37</v>
      </c>
    </row>
    <row r="4" customFormat="false" ht="43.25" hidden="false" customHeight="false" outlineLevel="0" collapsed="false">
      <c r="A4" s="2" t="n">
        <f aca="false">ROW()-1</f>
        <v>3</v>
      </c>
      <c r="B4" s="3" t="s">
        <v>16</v>
      </c>
      <c r="C4" s="2" t="s">
        <v>38</v>
      </c>
      <c r="D4" s="2" t="s">
        <v>39</v>
      </c>
      <c r="E4" s="4" t="s">
        <v>40</v>
      </c>
      <c r="F4" s="2" t="s">
        <v>20</v>
      </c>
      <c r="G4" s="4" t="s">
        <v>41</v>
      </c>
      <c r="H4" s="5" t="n">
        <v>120</v>
      </c>
      <c r="I4" s="5" t="n">
        <v>185</v>
      </c>
      <c r="J4" s="5" t="n">
        <f aca="false">(H4+I4)/2</f>
        <v>152.5</v>
      </c>
      <c r="K4" s="6" t="s">
        <v>22</v>
      </c>
      <c r="L4" s="4" t="s">
        <v>42</v>
      </c>
      <c r="M4" s="10" t="s">
        <v>43</v>
      </c>
      <c r="N4" s="4" t="s">
        <v>44</v>
      </c>
      <c r="O4" s="11" t="s">
        <v>36</v>
      </c>
      <c r="P4" s="9" t="s">
        <v>45</v>
      </c>
    </row>
    <row r="5" customFormat="false" ht="53.7" hidden="false" customHeight="false" outlineLevel="0" collapsed="false">
      <c r="A5" s="2" t="n">
        <f aca="false">ROW()-1</f>
        <v>4</v>
      </c>
      <c r="B5" s="3" t="s">
        <v>16</v>
      </c>
      <c r="C5" s="2" t="s">
        <v>46</v>
      </c>
      <c r="D5" s="2" t="s">
        <v>39</v>
      </c>
      <c r="E5" s="4" t="s">
        <v>47</v>
      </c>
      <c r="F5" s="2" t="s">
        <v>20</v>
      </c>
      <c r="G5" s="4" t="s">
        <v>48</v>
      </c>
      <c r="H5" s="5" t="n">
        <v>110</v>
      </c>
      <c r="I5" s="5" t="n">
        <v>175</v>
      </c>
      <c r="J5" s="5" t="n">
        <f aca="false">(H5+I5)/2</f>
        <v>142.5</v>
      </c>
      <c r="K5" s="6" t="s">
        <v>22</v>
      </c>
      <c r="L5" s="4" t="s">
        <v>49</v>
      </c>
      <c r="M5" s="10" t="s">
        <v>50</v>
      </c>
      <c r="N5" s="4" t="s">
        <v>51</v>
      </c>
      <c r="O5" s="8" t="s">
        <v>26</v>
      </c>
      <c r="P5" s="9" t="s">
        <v>52</v>
      </c>
    </row>
    <row r="6" customFormat="false" ht="43.25" hidden="false" customHeight="false" outlineLevel="0" collapsed="false">
      <c r="A6" s="2" t="n">
        <f aca="false">ROW()-1</f>
        <v>5</v>
      </c>
      <c r="B6" s="3" t="s">
        <v>16</v>
      </c>
      <c r="C6" s="2" t="s">
        <v>38</v>
      </c>
      <c r="D6" s="2" t="s">
        <v>53</v>
      </c>
      <c r="E6" s="4" t="s">
        <v>40</v>
      </c>
      <c r="F6" s="2" t="s">
        <v>20</v>
      </c>
      <c r="G6" s="4" t="s">
        <v>54</v>
      </c>
      <c r="H6" s="5" t="n">
        <v>320</v>
      </c>
      <c r="I6" s="5" t="n">
        <v>570</v>
      </c>
      <c r="J6" s="5" t="n">
        <f aca="false">(H6+I6)/2</f>
        <v>445</v>
      </c>
      <c r="K6" s="12" t="s">
        <v>55</v>
      </c>
      <c r="L6" s="4" t="s">
        <v>56</v>
      </c>
      <c r="M6" s="10" t="s">
        <v>43</v>
      </c>
      <c r="N6" s="4" t="s">
        <v>44</v>
      </c>
      <c r="O6" s="11" t="s">
        <v>36</v>
      </c>
      <c r="P6" s="9" t="s">
        <v>45</v>
      </c>
    </row>
    <row r="7" customFormat="false" ht="43.25" hidden="false" customHeight="false" outlineLevel="0" collapsed="false">
      <c r="A7" s="2" t="n">
        <f aca="false">ROW()-1</f>
        <v>6</v>
      </c>
      <c r="B7" s="3" t="s">
        <v>16</v>
      </c>
      <c r="C7" s="2" t="s">
        <v>28</v>
      </c>
      <c r="D7" s="2" t="s">
        <v>53</v>
      </c>
      <c r="E7" s="4" t="s">
        <v>57</v>
      </c>
      <c r="F7" s="2" t="s">
        <v>58</v>
      </c>
      <c r="G7" s="4" t="s">
        <v>59</v>
      </c>
      <c r="H7" s="5" t="n">
        <v>250</v>
      </c>
      <c r="I7" s="5" t="n">
        <v>400</v>
      </c>
      <c r="J7" s="5" t="n">
        <f aca="false">(H7+I7)/2</f>
        <v>325</v>
      </c>
      <c r="K7" s="12" t="s">
        <v>55</v>
      </c>
      <c r="L7" s="4" t="s">
        <v>60</v>
      </c>
      <c r="M7" s="10" t="s">
        <v>61</v>
      </c>
      <c r="N7" s="4" t="s">
        <v>35</v>
      </c>
      <c r="O7" s="11" t="s">
        <v>36</v>
      </c>
      <c r="P7" s="9" t="s">
        <v>37</v>
      </c>
    </row>
    <row r="8" customFormat="false" ht="64.15" hidden="false" customHeight="false" outlineLevel="0" collapsed="false">
      <c r="A8" s="2" t="n">
        <f aca="false">ROW()-1</f>
        <v>7</v>
      </c>
      <c r="B8" s="3" t="s">
        <v>16</v>
      </c>
      <c r="C8" s="2" t="s">
        <v>17</v>
      </c>
      <c r="D8" s="2" t="s">
        <v>53</v>
      </c>
      <c r="E8" s="4" t="s">
        <v>62</v>
      </c>
      <c r="F8" s="2" t="s">
        <v>20</v>
      </c>
      <c r="G8" s="4" t="s">
        <v>63</v>
      </c>
      <c r="H8" s="5" t="n">
        <v>230</v>
      </c>
      <c r="I8" s="5" t="n">
        <v>360</v>
      </c>
      <c r="J8" s="5" t="n">
        <f aca="false">(H8+I8)/2</f>
        <v>295</v>
      </c>
      <c r="K8" s="12" t="s">
        <v>55</v>
      </c>
      <c r="L8" s="4" t="s">
        <v>64</v>
      </c>
      <c r="M8" s="7" t="s">
        <v>24</v>
      </c>
      <c r="N8" s="4" t="s">
        <v>25</v>
      </c>
      <c r="O8" s="11" t="s">
        <v>36</v>
      </c>
      <c r="P8" s="9" t="s">
        <v>27</v>
      </c>
    </row>
    <row r="9" customFormat="false" ht="53.7" hidden="false" customHeight="false" outlineLevel="0" collapsed="false">
      <c r="A9" s="2" t="n">
        <f aca="false">ROW()-1</f>
        <v>8</v>
      </c>
      <c r="B9" s="3" t="s">
        <v>16</v>
      </c>
      <c r="C9" s="2" t="s">
        <v>46</v>
      </c>
      <c r="D9" s="2" t="s">
        <v>53</v>
      </c>
      <c r="E9" s="4" t="s">
        <v>65</v>
      </c>
      <c r="F9" s="2" t="s">
        <v>20</v>
      </c>
      <c r="G9" s="4" t="s">
        <v>66</v>
      </c>
      <c r="H9" s="5" t="n">
        <v>215</v>
      </c>
      <c r="I9" s="5" t="n">
        <v>330</v>
      </c>
      <c r="J9" s="5" t="n">
        <f aca="false">(H9+I9)/2</f>
        <v>272.5</v>
      </c>
      <c r="K9" s="12" t="s">
        <v>55</v>
      </c>
      <c r="L9" s="4" t="s">
        <v>67</v>
      </c>
      <c r="M9" s="10" t="s">
        <v>50</v>
      </c>
      <c r="N9" s="4" t="s">
        <v>51</v>
      </c>
      <c r="O9" s="8" t="s">
        <v>26</v>
      </c>
      <c r="P9" s="9" t="s">
        <v>52</v>
      </c>
    </row>
    <row r="10" customFormat="false" ht="43.25" hidden="false" customHeight="false" outlineLevel="0" collapsed="false">
      <c r="A10" s="2" t="n">
        <f aca="false">ROW()-1</f>
        <v>9</v>
      </c>
      <c r="B10" s="3" t="s">
        <v>16</v>
      </c>
      <c r="C10" s="2" t="s">
        <v>68</v>
      </c>
      <c r="D10" s="2" t="s">
        <v>53</v>
      </c>
      <c r="E10" s="4" t="s">
        <v>69</v>
      </c>
      <c r="F10" s="2" t="s">
        <v>58</v>
      </c>
      <c r="G10" s="4" t="s">
        <v>70</v>
      </c>
      <c r="H10" s="5" t="n">
        <v>190</v>
      </c>
      <c r="I10" s="5" t="n">
        <v>320</v>
      </c>
      <c r="J10" s="5" t="n">
        <f aca="false">(H10+I10)/2</f>
        <v>255</v>
      </c>
      <c r="K10" s="12" t="s">
        <v>55</v>
      </c>
      <c r="L10" s="4" t="s">
        <v>71</v>
      </c>
      <c r="M10" s="10" t="s">
        <v>72</v>
      </c>
      <c r="N10" s="4" t="s">
        <v>73</v>
      </c>
      <c r="O10" s="11" t="s">
        <v>36</v>
      </c>
      <c r="P10" s="9" t="s">
        <v>74</v>
      </c>
    </row>
    <row r="11" customFormat="false" ht="43.25" hidden="false" customHeight="false" outlineLevel="0" collapsed="false">
      <c r="A11" s="2" t="n">
        <f aca="false">ROW()-1</f>
        <v>10</v>
      </c>
      <c r="B11" s="3" t="s">
        <v>16</v>
      </c>
      <c r="C11" s="2" t="s">
        <v>38</v>
      </c>
      <c r="D11" s="2" t="s">
        <v>75</v>
      </c>
      <c r="E11" s="4" t="s">
        <v>40</v>
      </c>
      <c r="F11" s="2" t="s">
        <v>20</v>
      </c>
      <c r="G11" s="4" t="s">
        <v>76</v>
      </c>
      <c r="H11" s="5" t="n">
        <v>350</v>
      </c>
      <c r="I11" s="5" t="n">
        <v>508</v>
      </c>
      <c r="J11" s="5" t="n">
        <f aca="false">(H11+I11)/2</f>
        <v>429</v>
      </c>
      <c r="K11" s="4" t="s">
        <v>77</v>
      </c>
      <c r="L11" s="4" t="s">
        <v>78</v>
      </c>
      <c r="M11" s="10" t="s">
        <v>43</v>
      </c>
      <c r="N11" s="4" t="s">
        <v>44</v>
      </c>
      <c r="O11" s="11" t="s">
        <v>36</v>
      </c>
      <c r="P11" s="9" t="s">
        <v>79</v>
      </c>
    </row>
    <row r="12" customFormat="false" ht="43.25" hidden="false" customHeight="false" outlineLevel="0" collapsed="false">
      <c r="A12" s="2" t="n">
        <f aca="false">ROW()-1</f>
        <v>11</v>
      </c>
      <c r="B12" s="3" t="s">
        <v>16</v>
      </c>
      <c r="C12" s="2" t="s">
        <v>38</v>
      </c>
      <c r="D12" s="2" t="s">
        <v>80</v>
      </c>
      <c r="E12" s="4" t="s">
        <v>40</v>
      </c>
      <c r="F12" s="2" t="s">
        <v>20</v>
      </c>
      <c r="G12" s="4" t="s">
        <v>81</v>
      </c>
      <c r="H12" s="5" t="n">
        <v>225</v>
      </c>
      <c r="I12" s="5" t="n">
        <v>340</v>
      </c>
      <c r="J12" s="5" t="n">
        <f aca="false">(H12+I12)/2</f>
        <v>282.5</v>
      </c>
      <c r="K12" s="4" t="s">
        <v>77</v>
      </c>
      <c r="L12" s="4" t="s">
        <v>82</v>
      </c>
      <c r="M12" s="10" t="s">
        <v>43</v>
      </c>
      <c r="N12" s="4" t="s">
        <v>44</v>
      </c>
      <c r="O12" s="11" t="s">
        <v>36</v>
      </c>
      <c r="P12" s="9" t="s">
        <v>45</v>
      </c>
    </row>
    <row r="13" customFormat="false" ht="64.15" hidden="false" customHeight="false" outlineLevel="0" collapsed="false">
      <c r="A13" s="2" t="n">
        <f aca="false">ROW()-1</f>
        <v>12</v>
      </c>
      <c r="B13" s="3" t="s">
        <v>16</v>
      </c>
      <c r="C13" s="2" t="s">
        <v>17</v>
      </c>
      <c r="D13" s="2" t="s">
        <v>80</v>
      </c>
      <c r="E13" s="4" t="s">
        <v>19</v>
      </c>
      <c r="F13" s="2" t="s">
        <v>20</v>
      </c>
      <c r="G13" s="4" t="s">
        <v>83</v>
      </c>
      <c r="H13" s="5" t="n">
        <v>220</v>
      </c>
      <c r="I13" s="5" t="n">
        <v>320</v>
      </c>
      <c r="J13" s="5" t="n">
        <f aca="false">(H13+I13)/2</f>
        <v>270</v>
      </c>
      <c r="K13" s="4" t="s">
        <v>77</v>
      </c>
      <c r="L13" s="4" t="s">
        <v>84</v>
      </c>
      <c r="M13" s="7" t="s">
        <v>24</v>
      </c>
      <c r="N13" s="4" t="s">
        <v>25</v>
      </c>
      <c r="O13" s="11" t="s">
        <v>36</v>
      </c>
      <c r="P13" s="9" t="s">
        <v>27</v>
      </c>
    </row>
    <row r="14" customFormat="false" ht="53.7" hidden="false" customHeight="false" outlineLevel="0" collapsed="false">
      <c r="A14" s="2" t="n">
        <f aca="false">ROW()-1</f>
        <v>13</v>
      </c>
      <c r="B14" s="3" t="s">
        <v>16</v>
      </c>
      <c r="C14" s="2" t="s">
        <v>46</v>
      </c>
      <c r="D14" s="2" t="s">
        <v>80</v>
      </c>
      <c r="E14" s="4" t="s">
        <v>85</v>
      </c>
      <c r="F14" s="2" t="s">
        <v>58</v>
      </c>
      <c r="G14" s="4" t="s">
        <v>86</v>
      </c>
      <c r="H14" s="5" t="n">
        <v>210</v>
      </c>
      <c r="I14" s="5" t="n">
        <v>285</v>
      </c>
      <c r="J14" s="5" t="n">
        <f aca="false">(H14+I14)/2</f>
        <v>247.5</v>
      </c>
      <c r="K14" s="4" t="s">
        <v>77</v>
      </c>
      <c r="L14" s="4" t="s">
        <v>87</v>
      </c>
      <c r="M14" s="10" t="s">
        <v>61</v>
      </c>
      <c r="N14" s="4" t="s">
        <v>88</v>
      </c>
      <c r="O14" s="8" t="s">
        <v>26</v>
      </c>
      <c r="P14" s="9" t="s">
        <v>52</v>
      </c>
    </row>
    <row r="15" customFormat="false" ht="43.25" hidden="false" customHeight="false" outlineLevel="0" collapsed="false">
      <c r="A15" s="2" t="n">
        <f aca="false">ROW()-1</f>
        <v>14</v>
      </c>
      <c r="B15" s="3" t="s">
        <v>16</v>
      </c>
      <c r="C15" s="2" t="s">
        <v>28</v>
      </c>
      <c r="D15" s="2" t="s">
        <v>80</v>
      </c>
      <c r="E15" s="4" t="s">
        <v>65</v>
      </c>
      <c r="F15" s="2" t="s">
        <v>20</v>
      </c>
      <c r="G15" s="4" t="s">
        <v>89</v>
      </c>
      <c r="H15" s="5" t="n">
        <v>185</v>
      </c>
      <c r="I15" s="5" t="n">
        <v>260</v>
      </c>
      <c r="J15" s="5" t="n">
        <f aca="false">(H15+I15)/2</f>
        <v>222.5</v>
      </c>
      <c r="K15" s="4" t="s">
        <v>77</v>
      </c>
      <c r="L15" s="4" t="s">
        <v>90</v>
      </c>
      <c r="M15" s="10" t="s">
        <v>50</v>
      </c>
      <c r="N15" s="4" t="s">
        <v>35</v>
      </c>
      <c r="O15" s="11" t="s">
        <v>36</v>
      </c>
      <c r="P15" s="9" t="s">
        <v>37</v>
      </c>
    </row>
    <row r="16" customFormat="false" ht="43.25" hidden="false" customHeight="false" outlineLevel="0" collapsed="false">
      <c r="A16" s="2" t="n">
        <f aca="false">ROW()-1</f>
        <v>15</v>
      </c>
      <c r="B16" s="3" t="s">
        <v>16</v>
      </c>
      <c r="C16" s="2" t="s">
        <v>38</v>
      </c>
      <c r="D16" s="2" t="s">
        <v>91</v>
      </c>
      <c r="E16" s="4" t="s">
        <v>40</v>
      </c>
      <c r="F16" s="2" t="s">
        <v>20</v>
      </c>
      <c r="G16" s="4" t="s">
        <v>92</v>
      </c>
      <c r="H16" s="5" t="n">
        <v>400</v>
      </c>
      <c r="I16" s="5" t="n">
        <v>600</v>
      </c>
      <c r="J16" s="5" t="n">
        <f aca="false">(H16+I16)/2</f>
        <v>500</v>
      </c>
      <c r="K16" s="13" t="s">
        <v>93</v>
      </c>
      <c r="L16" s="4" t="s">
        <v>94</v>
      </c>
      <c r="M16" s="10" t="s">
        <v>43</v>
      </c>
      <c r="N16" s="4" t="s">
        <v>44</v>
      </c>
      <c r="O16" s="11" t="s">
        <v>36</v>
      </c>
      <c r="P16" s="9" t="s">
        <v>45</v>
      </c>
    </row>
    <row r="17" customFormat="false" ht="43.25" hidden="false" customHeight="false" outlineLevel="0" collapsed="false">
      <c r="A17" s="2" t="n">
        <f aca="false">ROW()-1</f>
        <v>16</v>
      </c>
      <c r="B17" s="3" t="s">
        <v>16</v>
      </c>
      <c r="C17" s="2" t="s">
        <v>38</v>
      </c>
      <c r="D17" s="2" t="s">
        <v>95</v>
      </c>
      <c r="E17" s="4" t="s">
        <v>40</v>
      </c>
      <c r="F17" s="2" t="s">
        <v>20</v>
      </c>
      <c r="G17" s="4" t="s">
        <v>96</v>
      </c>
      <c r="H17" s="5" t="n">
        <v>380</v>
      </c>
      <c r="I17" s="5" t="n">
        <v>550</v>
      </c>
      <c r="J17" s="5" t="n">
        <f aca="false">(H17+I17)/2</f>
        <v>465</v>
      </c>
      <c r="K17" s="13" t="s">
        <v>93</v>
      </c>
      <c r="L17" s="4" t="s">
        <v>97</v>
      </c>
      <c r="M17" s="10" t="s">
        <v>43</v>
      </c>
      <c r="N17" s="4" t="s">
        <v>44</v>
      </c>
      <c r="O17" s="11" t="s">
        <v>36</v>
      </c>
      <c r="P17" s="9" t="s">
        <v>45</v>
      </c>
    </row>
    <row r="18" customFormat="false" ht="64.15" hidden="false" customHeight="false" outlineLevel="0" collapsed="false">
      <c r="A18" s="2" t="n">
        <f aca="false">ROW()-1</f>
        <v>17</v>
      </c>
      <c r="B18" s="3" t="s">
        <v>16</v>
      </c>
      <c r="C18" s="2" t="s">
        <v>17</v>
      </c>
      <c r="D18" s="2" t="s">
        <v>91</v>
      </c>
      <c r="E18" s="4" t="s">
        <v>98</v>
      </c>
      <c r="F18" s="2" t="s">
        <v>20</v>
      </c>
      <c r="G18" s="4" t="s">
        <v>99</v>
      </c>
      <c r="H18" s="5" t="n">
        <v>400</v>
      </c>
      <c r="I18" s="5" t="n">
        <v>500</v>
      </c>
      <c r="J18" s="5" t="n">
        <f aca="false">(H18+I18)/2</f>
        <v>450</v>
      </c>
      <c r="K18" s="13" t="s">
        <v>93</v>
      </c>
      <c r="L18" s="4" t="s">
        <v>100</v>
      </c>
      <c r="M18" s="7" t="s">
        <v>24</v>
      </c>
      <c r="N18" s="4" t="s">
        <v>25</v>
      </c>
      <c r="O18" s="11" t="s">
        <v>36</v>
      </c>
      <c r="P18" s="9" t="s">
        <v>27</v>
      </c>
    </row>
    <row r="19" customFormat="false" ht="64.15" hidden="false" customHeight="false" outlineLevel="0" collapsed="false">
      <c r="A19" s="2" t="n">
        <f aca="false">ROW()-1</f>
        <v>18</v>
      </c>
      <c r="B19" s="3" t="s">
        <v>16</v>
      </c>
      <c r="C19" s="2" t="s">
        <v>17</v>
      </c>
      <c r="D19" s="2" t="s">
        <v>101</v>
      </c>
      <c r="E19" s="4" t="s">
        <v>102</v>
      </c>
      <c r="F19" s="2" t="s">
        <v>20</v>
      </c>
      <c r="G19" s="4" t="s">
        <v>103</v>
      </c>
      <c r="H19" s="5" t="n">
        <v>380</v>
      </c>
      <c r="I19" s="5" t="n">
        <v>470</v>
      </c>
      <c r="J19" s="5" t="n">
        <f aca="false">(H19+I19)/2</f>
        <v>425</v>
      </c>
      <c r="K19" s="13" t="s">
        <v>93</v>
      </c>
      <c r="L19" s="4" t="s">
        <v>104</v>
      </c>
      <c r="M19" s="7" t="s">
        <v>24</v>
      </c>
      <c r="N19" s="4" t="s">
        <v>25</v>
      </c>
      <c r="O19" s="8" t="s">
        <v>26</v>
      </c>
      <c r="P19" s="9" t="s">
        <v>27</v>
      </c>
    </row>
    <row r="20" customFormat="false" ht="64.15" hidden="false" customHeight="false" outlineLevel="0" collapsed="false">
      <c r="A20" s="2" t="n">
        <f aca="false">ROW()-1</f>
        <v>19</v>
      </c>
      <c r="B20" s="3" t="s">
        <v>16</v>
      </c>
      <c r="C20" s="2" t="s">
        <v>17</v>
      </c>
      <c r="D20" s="2" t="s">
        <v>95</v>
      </c>
      <c r="E20" s="4" t="s">
        <v>102</v>
      </c>
      <c r="F20" s="2" t="s">
        <v>20</v>
      </c>
      <c r="G20" s="4" t="s">
        <v>103</v>
      </c>
      <c r="H20" s="5" t="n">
        <v>380</v>
      </c>
      <c r="I20" s="5" t="n">
        <v>470</v>
      </c>
      <c r="J20" s="5" t="n">
        <f aca="false">(H20+I20)/2</f>
        <v>425</v>
      </c>
      <c r="K20" s="13" t="s">
        <v>93</v>
      </c>
      <c r="L20" s="4" t="s">
        <v>105</v>
      </c>
      <c r="M20" s="7" t="s">
        <v>24</v>
      </c>
      <c r="N20" s="4" t="s">
        <v>25</v>
      </c>
      <c r="O20" s="8" t="s">
        <v>26</v>
      </c>
      <c r="P20" s="9" t="s">
        <v>27</v>
      </c>
    </row>
    <row r="21" customFormat="false" ht="53.7" hidden="false" customHeight="false" outlineLevel="0" collapsed="false">
      <c r="A21" s="2" t="n">
        <f aca="false">ROW()-1</f>
        <v>20</v>
      </c>
      <c r="B21" s="3" t="s">
        <v>16</v>
      </c>
      <c r="C21" s="2" t="s">
        <v>46</v>
      </c>
      <c r="D21" s="2" t="s">
        <v>95</v>
      </c>
      <c r="E21" s="4" t="s">
        <v>106</v>
      </c>
      <c r="F21" s="2" t="s">
        <v>20</v>
      </c>
      <c r="G21" s="4" t="s">
        <v>103</v>
      </c>
      <c r="H21" s="5" t="n">
        <v>380</v>
      </c>
      <c r="I21" s="5" t="n">
        <v>470</v>
      </c>
      <c r="J21" s="5" t="n">
        <f aca="false">(H21+I21)/2</f>
        <v>425</v>
      </c>
      <c r="K21" s="13" t="s">
        <v>93</v>
      </c>
      <c r="L21" s="4" t="s">
        <v>107</v>
      </c>
      <c r="M21" s="10" t="s">
        <v>50</v>
      </c>
      <c r="N21" s="4" t="s">
        <v>51</v>
      </c>
      <c r="O21" s="8" t="s">
        <v>26</v>
      </c>
      <c r="P21" s="9" t="s">
        <v>52</v>
      </c>
    </row>
    <row r="22" customFormat="false" ht="43.25" hidden="false" customHeight="false" outlineLevel="0" collapsed="false">
      <c r="A22" s="2" t="n">
        <f aca="false">ROW()-1</f>
        <v>21</v>
      </c>
      <c r="B22" s="3" t="s">
        <v>16</v>
      </c>
      <c r="C22" s="2" t="s">
        <v>28</v>
      </c>
      <c r="D22" s="2" t="s">
        <v>91</v>
      </c>
      <c r="E22" s="4" t="s">
        <v>57</v>
      </c>
      <c r="F22" s="2" t="s">
        <v>58</v>
      </c>
      <c r="G22" s="4" t="s">
        <v>108</v>
      </c>
      <c r="H22" s="5" t="n">
        <v>300</v>
      </c>
      <c r="I22" s="5" t="n">
        <v>480</v>
      </c>
      <c r="J22" s="5" t="n">
        <f aca="false">(H22+I22)/2</f>
        <v>390</v>
      </c>
      <c r="K22" s="13" t="s">
        <v>93</v>
      </c>
      <c r="L22" s="4" t="s">
        <v>109</v>
      </c>
      <c r="M22" s="10" t="s">
        <v>61</v>
      </c>
      <c r="N22" s="4" t="s">
        <v>35</v>
      </c>
      <c r="O22" s="11" t="s">
        <v>36</v>
      </c>
      <c r="P22" s="9" t="s">
        <v>37</v>
      </c>
    </row>
    <row r="23" customFormat="false" ht="43.25" hidden="false" customHeight="false" outlineLevel="0" collapsed="false">
      <c r="A23" s="2" t="n">
        <f aca="false">ROW()-1</f>
        <v>22</v>
      </c>
      <c r="B23" s="3" t="s">
        <v>16</v>
      </c>
      <c r="C23" s="2" t="s">
        <v>68</v>
      </c>
      <c r="D23" s="2" t="s">
        <v>110</v>
      </c>
      <c r="E23" s="4" t="s">
        <v>111</v>
      </c>
      <c r="F23" s="2" t="s">
        <v>58</v>
      </c>
      <c r="G23" s="4" t="s">
        <v>112</v>
      </c>
      <c r="H23" s="5" t="n">
        <v>300</v>
      </c>
      <c r="I23" s="5" t="n">
        <v>450</v>
      </c>
      <c r="J23" s="5" t="n">
        <f aca="false">(H23+I23)/2</f>
        <v>375</v>
      </c>
      <c r="K23" s="13" t="s">
        <v>93</v>
      </c>
      <c r="L23" s="4" t="s">
        <v>113</v>
      </c>
      <c r="M23" s="10" t="s">
        <v>72</v>
      </c>
      <c r="N23" s="4" t="s">
        <v>73</v>
      </c>
      <c r="O23" s="8" t="s">
        <v>26</v>
      </c>
      <c r="P23" s="9" t="s">
        <v>74</v>
      </c>
    </row>
    <row r="24" customFormat="false" ht="53.7" hidden="false" customHeight="false" outlineLevel="0" collapsed="false">
      <c r="A24" s="2" t="n">
        <f aca="false">ROW()-1</f>
        <v>23</v>
      </c>
      <c r="B24" s="14" t="s">
        <v>114</v>
      </c>
      <c r="C24" s="2" t="s">
        <v>115</v>
      </c>
      <c r="D24" s="2" t="s">
        <v>116</v>
      </c>
      <c r="E24" s="4" t="s">
        <v>117</v>
      </c>
      <c r="F24" s="2" t="s">
        <v>20</v>
      </c>
      <c r="G24" s="4" t="s">
        <v>118</v>
      </c>
      <c r="H24" s="5" t="n">
        <v>180</v>
      </c>
      <c r="I24" s="5" t="n">
        <v>280</v>
      </c>
      <c r="J24" s="5" t="n">
        <f aca="false">(H24+I24)/2</f>
        <v>230</v>
      </c>
      <c r="K24" s="6" t="s">
        <v>119</v>
      </c>
      <c r="L24" s="4" t="s">
        <v>120</v>
      </c>
      <c r="M24" s="10" t="s">
        <v>50</v>
      </c>
      <c r="N24" s="4" t="s">
        <v>51</v>
      </c>
      <c r="O24" s="8" t="s">
        <v>26</v>
      </c>
      <c r="P24" s="9" t="s">
        <v>121</v>
      </c>
    </row>
    <row r="25" customFormat="false" ht="53.7" hidden="false" customHeight="false" outlineLevel="0" collapsed="false">
      <c r="A25" s="2" t="n">
        <f aca="false">ROW()-1</f>
        <v>24</v>
      </c>
      <c r="B25" s="14" t="s">
        <v>114</v>
      </c>
      <c r="C25" s="2" t="s">
        <v>122</v>
      </c>
      <c r="D25" s="2" t="s">
        <v>123</v>
      </c>
      <c r="E25" s="4" t="s">
        <v>124</v>
      </c>
      <c r="F25" s="2" t="s">
        <v>20</v>
      </c>
      <c r="G25" s="4" t="s">
        <v>125</v>
      </c>
      <c r="H25" s="5" t="n">
        <v>155</v>
      </c>
      <c r="I25" s="5" t="n">
        <v>245</v>
      </c>
      <c r="J25" s="5" t="n">
        <f aca="false">(H25+I25)/2</f>
        <v>200</v>
      </c>
      <c r="K25" s="6" t="s">
        <v>119</v>
      </c>
      <c r="L25" s="4" t="s">
        <v>126</v>
      </c>
      <c r="M25" s="7" t="s">
        <v>127</v>
      </c>
      <c r="N25" s="4" t="s">
        <v>51</v>
      </c>
      <c r="O25" s="8" t="s">
        <v>26</v>
      </c>
      <c r="P25" s="9" t="s">
        <v>128</v>
      </c>
    </row>
    <row r="26" customFormat="false" ht="53.7" hidden="false" customHeight="false" outlineLevel="0" collapsed="false">
      <c r="A26" s="2" t="n">
        <f aca="false">ROW()-1</f>
        <v>25</v>
      </c>
      <c r="B26" s="14" t="s">
        <v>114</v>
      </c>
      <c r="C26" s="2" t="s">
        <v>129</v>
      </c>
      <c r="D26" s="2" t="s">
        <v>130</v>
      </c>
      <c r="E26" s="4" t="s">
        <v>117</v>
      </c>
      <c r="F26" s="2" t="s">
        <v>20</v>
      </c>
      <c r="G26" s="4" t="s">
        <v>131</v>
      </c>
      <c r="H26" s="5" t="n">
        <v>145</v>
      </c>
      <c r="I26" s="5" t="n">
        <v>215</v>
      </c>
      <c r="J26" s="5" t="n">
        <f aca="false">(H26+I26)/2</f>
        <v>180</v>
      </c>
      <c r="K26" s="6" t="s">
        <v>119</v>
      </c>
      <c r="L26" s="4" t="s">
        <v>132</v>
      </c>
      <c r="M26" s="10" t="s">
        <v>133</v>
      </c>
      <c r="N26" s="4" t="s">
        <v>51</v>
      </c>
      <c r="O26" s="8" t="s">
        <v>26</v>
      </c>
      <c r="P26" s="9" t="s">
        <v>134</v>
      </c>
    </row>
    <row r="27" customFormat="false" ht="53.7" hidden="false" customHeight="false" outlineLevel="0" collapsed="false">
      <c r="A27" s="2" t="n">
        <f aca="false">ROW()-1</f>
        <v>26</v>
      </c>
      <c r="B27" s="14" t="s">
        <v>114</v>
      </c>
      <c r="C27" s="2" t="s">
        <v>135</v>
      </c>
      <c r="D27" s="2" t="s">
        <v>29</v>
      </c>
      <c r="E27" s="4" t="s">
        <v>30</v>
      </c>
      <c r="F27" s="2" t="s">
        <v>31</v>
      </c>
      <c r="G27" s="4" t="s">
        <v>48</v>
      </c>
      <c r="H27" s="5" t="n">
        <v>110</v>
      </c>
      <c r="I27" s="5" t="n">
        <v>175</v>
      </c>
      <c r="J27" s="5" t="n">
        <f aca="false">(H27+I27)/2</f>
        <v>142.5</v>
      </c>
      <c r="K27" s="6" t="s">
        <v>22</v>
      </c>
      <c r="L27" s="4" t="s">
        <v>136</v>
      </c>
      <c r="M27" s="10" t="s">
        <v>137</v>
      </c>
      <c r="N27" s="4" t="s">
        <v>138</v>
      </c>
      <c r="O27" s="8" t="s">
        <v>26</v>
      </c>
      <c r="P27" s="9" t="s">
        <v>139</v>
      </c>
    </row>
    <row r="28" customFormat="false" ht="53.7" hidden="false" customHeight="false" outlineLevel="0" collapsed="false">
      <c r="A28" s="2" t="n">
        <f aca="false">ROW()-1</f>
        <v>27</v>
      </c>
      <c r="B28" s="14" t="s">
        <v>114</v>
      </c>
      <c r="C28" s="2" t="s">
        <v>140</v>
      </c>
      <c r="D28" s="2" t="s">
        <v>39</v>
      </c>
      <c r="E28" s="4" t="s">
        <v>141</v>
      </c>
      <c r="F28" s="2" t="s">
        <v>20</v>
      </c>
      <c r="G28" s="4" t="s">
        <v>142</v>
      </c>
      <c r="H28" s="5" t="n">
        <v>105</v>
      </c>
      <c r="I28" s="5" t="n">
        <v>165</v>
      </c>
      <c r="J28" s="5" t="n">
        <f aca="false">(H28+I28)/2</f>
        <v>135</v>
      </c>
      <c r="K28" s="6" t="s">
        <v>22</v>
      </c>
      <c r="L28" s="4" t="s">
        <v>143</v>
      </c>
      <c r="M28" s="10" t="s">
        <v>50</v>
      </c>
      <c r="N28" s="4" t="s">
        <v>51</v>
      </c>
      <c r="O28" s="8" t="s">
        <v>26</v>
      </c>
      <c r="P28" s="9" t="s">
        <v>144</v>
      </c>
    </row>
    <row r="29" customFormat="false" ht="53.7" hidden="false" customHeight="false" outlineLevel="0" collapsed="false">
      <c r="A29" s="2" t="n">
        <f aca="false">ROW()-1</f>
        <v>28</v>
      </c>
      <c r="B29" s="14" t="s">
        <v>114</v>
      </c>
      <c r="C29" s="2" t="s">
        <v>145</v>
      </c>
      <c r="D29" s="2" t="s">
        <v>29</v>
      </c>
      <c r="E29" s="4" t="s">
        <v>146</v>
      </c>
      <c r="F29" s="2" t="s">
        <v>20</v>
      </c>
      <c r="G29" s="4" t="s">
        <v>142</v>
      </c>
      <c r="H29" s="5" t="n">
        <v>105</v>
      </c>
      <c r="I29" s="5" t="n">
        <v>165</v>
      </c>
      <c r="J29" s="5" t="n">
        <f aca="false">(H29+I29)/2</f>
        <v>135</v>
      </c>
      <c r="K29" s="6" t="s">
        <v>22</v>
      </c>
      <c r="L29" s="4" t="s">
        <v>147</v>
      </c>
      <c r="M29" s="10" t="s">
        <v>50</v>
      </c>
      <c r="N29" s="4" t="s">
        <v>51</v>
      </c>
      <c r="O29" s="11" t="s">
        <v>36</v>
      </c>
      <c r="P29" s="9" t="s">
        <v>148</v>
      </c>
    </row>
    <row r="30" customFormat="false" ht="53.7" hidden="false" customHeight="false" outlineLevel="0" collapsed="false">
      <c r="A30" s="2" t="n">
        <f aca="false">ROW()-1</f>
        <v>29</v>
      </c>
      <c r="B30" s="14" t="s">
        <v>114</v>
      </c>
      <c r="C30" s="2" t="s">
        <v>145</v>
      </c>
      <c r="D30" s="2" t="s">
        <v>39</v>
      </c>
      <c r="E30" s="4" t="s">
        <v>146</v>
      </c>
      <c r="F30" s="2" t="s">
        <v>20</v>
      </c>
      <c r="G30" s="4" t="s">
        <v>142</v>
      </c>
      <c r="H30" s="5" t="n">
        <v>105</v>
      </c>
      <c r="I30" s="5" t="n">
        <v>165</v>
      </c>
      <c r="J30" s="5" t="n">
        <f aca="false">(H30+I30)/2</f>
        <v>135</v>
      </c>
      <c r="K30" s="6" t="s">
        <v>22</v>
      </c>
      <c r="L30" s="4" t="s">
        <v>149</v>
      </c>
      <c r="M30" s="10" t="s">
        <v>50</v>
      </c>
      <c r="N30" s="4" t="s">
        <v>51</v>
      </c>
      <c r="O30" s="11" t="s">
        <v>36</v>
      </c>
      <c r="P30" s="9" t="s">
        <v>148</v>
      </c>
    </row>
    <row r="31" customFormat="false" ht="53.7" hidden="false" customHeight="false" outlineLevel="0" collapsed="false">
      <c r="A31" s="2" t="n">
        <f aca="false">ROW()-1</f>
        <v>30</v>
      </c>
      <c r="B31" s="14" t="s">
        <v>114</v>
      </c>
      <c r="C31" s="2" t="s">
        <v>122</v>
      </c>
      <c r="D31" s="2" t="s">
        <v>39</v>
      </c>
      <c r="E31" s="4" t="s">
        <v>150</v>
      </c>
      <c r="F31" s="2" t="s">
        <v>20</v>
      </c>
      <c r="G31" s="4" t="s">
        <v>151</v>
      </c>
      <c r="H31" s="5" t="n">
        <v>100</v>
      </c>
      <c r="I31" s="5" t="n">
        <v>150</v>
      </c>
      <c r="J31" s="5" t="n">
        <f aca="false">(H31+I31)/2</f>
        <v>125</v>
      </c>
      <c r="K31" s="6" t="s">
        <v>22</v>
      </c>
      <c r="L31" s="4" t="s">
        <v>152</v>
      </c>
      <c r="M31" s="7" t="s">
        <v>127</v>
      </c>
      <c r="N31" s="4" t="s">
        <v>51</v>
      </c>
      <c r="O31" s="11" t="s">
        <v>36</v>
      </c>
      <c r="P31" s="9" t="s">
        <v>128</v>
      </c>
    </row>
    <row r="32" customFormat="false" ht="43.25" hidden="false" customHeight="false" outlineLevel="0" collapsed="false">
      <c r="A32" s="2" t="n">
        <f aca="false">ROW()-1</f>
        <v>31</v>
      </c>
      <c r="B32" s="14" t="s">
        <v>114</v>
      </c>
      <c r="C32" s="2" t="s">
        <v>153</v>
      </c>
      <c r="D32" s="2" t="s">
        <v>39</v>
      </c>
      <c r="E32" s="4" t="s">
        <v>154</v>
      </c>
      <c r="F32" s="2" t="s">
        <v>20</v>
      </c>
      <c r="G32" s="4" t="s">
        <v>151</v>
      </c>
      <c r="H32" s="5" t="n">
        <v>100</v>
      </c>
      <c r="I32" s="5" t="n">
        <v>150</v>
      </c>
      <c r="J32" s="5" t="n">
        <f aca="false">(H32+I32)/2</f>
        <v>125</v>
      </c>
      <c r="K32" s="6" t="s">
        <v>22</v>
      </c>
      <c r="L32" s="4" t="s">
        <v>155</v>
      </c>
      <c r="M32" s="10" t="s">
        <v>156</v>
      </c>
      <c r="N32" s="4" t="s">
        <v>157</v>
      </c>
      <c r="O32" s="11" t="s">
        <v>36</v>
      </c>
      <c r="P32" s="9" t="s">
        <v>158</v>
      </c>
    </row>
    <row r="33" customFormat="false" ht="53.7" hidden="false" customHeight="false" outlineLevel="0" collapsed="false">
      <c r="A33" s="2" t="n">
        <f aca="false">ROW()-1</f>
        <v>32</v>
      </c>
      <c r="B33" s="14" t="s">
        <v>114</v>
      </c>
      <c r="C33" s="2" t="s">
        <v>115</v>
      </c>
      <c r="D33" s="2" t="s">
        <v>159</v>
      </c>
      <c r="E33" s="4" t="s">
        <v>160</v>
      </c>
      <c r="F33" s="2" t="s">
        <v>20</v>
      </c>
      <c r="G33" s="4" t="s">
        <v>161</v>
      </c>
      <c r="H33" s="5" t="n">
        <v>95</v>
      </c>
      <c r="I33" s="5" t="n">
        <v>150</v>
      </c>
      <c r="J33" s="5" t="n">
        <f aca="false">(H33+I33)/2</f>
        <v>122.5</v>
      </c>
      <c r="K33" s="6" t="s">
        <v>162</v>
      </c>
      <c r="L33" s="4" t="s">
        <v>163</v>
      </c>
      <c r="M33" s="10" t="s">
        <v>50</v>
      </c>
      <c r="N33" s="4" t="s">
        <v>51</v>
      </c>
      <c r="O33" s="8" t="s">
        <v>26</v>
      </c>
      <c r="P33" s="9" t="s">
        <v>121</v>
      </c>
    </row>
    <row r="34" customFormat="false" ht="53.7" hidden="false" customHeight="false" outlineLevel="0" collapsed="false">
      <c r="A34" s="2" t="n">
        <f aca="false">ROW()-1</f>
        <v>33</v>
      </c>
      <c r="B34" s="14" t="s">
        <v>114</v>
      </c>
      <c r="C34" s="2" t="s">
        <v>129</v>
      </c>
      <c r="D34" s="2" t="s">
        <v>29</v>
      </c>
      <c r="E34" s="4" t="s">
        <v>164</v>
      </c>
      <c r="F34" s="2" t="s">
        <v>20</v>
      </c>
      <c r="G34" s="4" t="s">
        <v>165</v>
      </c>
      <c r="H34" s="5" t="n">
        <v>95</v>
      </c>
      <c r="I34" s="5" t="n">
        <v>140</v>
      </c>
      <c r="J34" s="5" t="n">
        <f aca="false">(H34+I34)/2</f>
        <v>117.5</v>
      </c>
      <c r="K34" s="6" t="s">
        <v>22</v>
      </c>
      <c r="L34" s="4" t="s">
        <v>166</v>
      </c>
      <c r="M34" s="10" t="s">
        <v>133</v>
      </c>
      <c r="N34" s="4" t="s">
        <v>51</v>
      </c>
      <c r="O34" s="8" t="s">
        <v>26</v>
      </c>
      <c r="P34" s="9" t="s">
        <v>134</v>
      </c>
    </row>
    <row r="35" customFormat="false" ht="53.7" hidden="false" customHeight="false" outlineLevel="0" collapsed="false">
      <c r="A35" s="2" t="n">
        <f aca="false">ROW()-1</f>
        <v>34</v>
      </c>
      <c r="B35" s="14" t="s">
        <v>114</v>
      </c>
      <c r="C35" s="2" t="s">
        <v>167</v>
      </c>
      <c r="D35" s="2" t="s">
        <v>159</v>
      </c>
      <c r="E35" s="4" t="s">
        <v>168</v>
      </c>
      <c r="F35" s="2" t="s">
        <v>20</v>
      </c>
      <c r="G35" s="4" t="s">
        <v>169</v>
      </c>
      <c r="H35" s="5" t="n">
        <v>90</v>
      </c>
      <c r="I35" s="5" t="n">
        <v>135</v>
      </c>
      <c r="J35" s="5" t="n">
        <f aca="false">(H35+I35)/2</f>
        <v>112.5</v>
      </c>
      <c r="K35" s="6" t="s">
        <v>162</v>
      </c>
      <c r="L35" s="4" t="s">
        <v>170</v>
      </c>
      <c r="M35" s="10" t="s">
        <v>50</v>
      </c>
      <c r="N35" s="4" t="s">
        <v>51</v>
      </c>
      <c r="O35" s="8" t="s">
        <v>26</v>
      </c>
      <c r="P35" s="9" t="s">
        <v>171</v>
      </c>
    </row>
    <row r="36" customFormat="false" ht="43.25" hidden="false" customHeight="false" outlineLevel="0" collapsed="false">
      <c r="A36" s="2" t="n">
        <f aca="false">ROW()-1</f>
        <v>35</v>
      </c>
      <c r="B36" s="14" t="s">
        <v>114</v>
      </c>
      <c r="C36" s="2" t="s">
        <v>172</v>
      </c>
      <c r="D36" s="2" t="s">
        <v>29</v>
      </c>
      <c r="E36" s="4" t="s">
        <v>30</v>
      </c>
      <c r="F36" s="2" t="s">
        <v>31</v>
      </c>
      <c r="G36" s="4" t="s">
        <v>173</v>
      </c>
      <c r="H36" s="5" t="n">
        <v>80</v>
      </c>
      <c r="I36" s="5" t="n">
        <v>120</v>
      </c>
      <c r="J36" s="5" t="n">
        <f aca="false">(H36+I36)/2</f>
        <v>100</v>
      </c>
      <c r="K36" s="6" t="s">
        <v>22</v>
      </c>
      <c r="L36" s="4" t="s">
        <v>174</v>
      </c>
      <c r="M36" s="10" t="s">
        <v>175</v>
      </c>
      <c r="N36" s="4" t="s">
        <v>176</v>
      </c>
      <c r="O36" s="8" t="s">
        <v>26</v>
      </c>
      <c r="P36" s="9" t="s">
        <v>177</v>
      </c>
    </row>
    <row r="37" customFormat="false" ht="53.7" hidden="false" customHeight="false" outlineLevel="0" collapsed="false">
      <c r="A37" s="2" t="n">
        <f aca="false">ROW()-1</f>
        <v>36</v>
      </c>
      <c r="B37" s="14" t="s">
        <v>114</v>
      </c>
      <c r="C37" s="2" t="s">
        <v>178</v>
      </c>
      <c r="D37" s="2" t="s">
        <v>53</v>
      </c>
      <c r="E37" s="4" t="s">
        <v>179</v>
      </c>
      <c r="F37" s="2" t="s">
        <v>58</v>
      </c>
      <c r="G37" s="4" t="s">
        <v>180</v>
      </c>
      <c r="H37" s="5" t="n">
        <v>200</v>
      </c>
      <c r="I37" s="5" t="n">
        <v>355</v>
      </c>
      <c r="J37" s="5" t="n">
        <f aca="false">(H37+I37)/2</f>
        <v>277.5</v>
      </c>
      <c r="K37" s="12" t="s">
        <v>55</v>
      </c>
      <c r="L37" s="4" t="s">
        <v>181</v>
      </c>
      <c r="M37" s="10" t="s">
        <v>61</v>
      </c>
      <c r="N37" s="4" t="s">
        <v>88</v>
      </c>
      <c r="O37" s="8" t="s">
        <v>26</v>
      </c>
      <c r="P37" s="9" t="s">
        <v>182</v>
      </c>
    </row>
    <row r="38" customFormat="false" ht="53.7" hidden="false" customHeight="false" outlineLevel="0" collapsed="false">
      <c r="A38" s="2" t="n">
        <f aca="false">ROW()-1</f>
        <v>37</v>
      </c>
      <c r="B38" s="14" t="s">
        <v>114</v>
      </c>
      <c r="C38" s="2" t="s">
        <v>115</v>
      </c>
      <c r="D38" s="2" t="s">
        <v>53</v>
      </c>
      <c r="E38" s="4" t="s">
        <v>183</v>
      </c>
      <c r="F38" s="2" t="s">
        <v>20</v>
      </c>
      <c r="G38" s="4" t="s">
        <v>184</v>
      </c>
      <c r="H38" s="5" t="n">
        <v>200</v>
      </c>
      <c r="I38" s="5" t="n">
        <v>315</v>
      </c>
      <c r="J38" s="5" t="n">
        <f aca="false">(H38+I38)/2</f>
        <v>257.5</v>
      </c>
      <c r="K38" s="12" t="s">
        <v>55</v>
      </c>
      <c r="L38" s="4" t="s">
        <v>185</v>
      </c>
      <c r="M38" s="10" t="s">
        <v>50</v>
      </c>
      <c r="N38" s="4" t="s">
        <v>51</v>
      </c>
      <c r="O38" s="8" t="s">
        <v>26</v>
      </c>
      <c r="P38" s="9" t="s">
        <v>121</v>
      </c>
    </row>
    <row r="39" customFormat="false" ht="53.7" hidden="false" customHeight="false" outlineLevel="0" collapsed="false">
      <c r="A39" s="2" t="n">
        <f aca="false">ROW()-1</f>
        <v>38</v>
      </c>
      <c r="B39" s="14" t="s">
        <v>114</v>
      </c>
      <c r="C39" s="2" t="s">
        <v>135</v>
      </c>
      <c r="D39" s="2" t="s">
        <v>53</v>
      </c>
      <c r="E39" s="4" t="s">
        <v>30</v>
      </c>
      <c r="F39" s="2" t="s">
        <v>31</v>
      </c>
      <c r="G39" s="4" t="s">
        <v>70</v>
      </c>
      <c r="H39" s="5" t="n">
        <v>190</v>
      </c>
      <c r="I39" s="5" t="n">
        <v>320</v>
      </c>
      <c r="J39" s="5" t="n">
        <f aca="false">(H39+I39)/2</f>
        <v>255</v>
      </c>
      <c r="K39" s="12" t="s">
        <v>55</v>
      </c>
      <c r="L39" s="4" t="s">
        <v>186</v>
      </c>
      <c r="M39" s="10" t="s">
        <v>137</v>
      </c>
      <c r="N39" s="4" t="s">
        <v>138</v>
      </c>
      <c r="O39" s="8" t="s">
        <v>26</v>
      </c>
      <c r="P39" s="9" t="s">
        <v>139</v>
      </c>
    </row>
    <row r="40" customFormat="false" ht="53.7" hidden="false" customHeight="false" outlineLevel="0" collapsed="false">
      <c r="A40" s="2" t="n">
        <f aca="false">ROW()-1</f>
        <v>39</v>
      </c>
      <c r="B40" s="14" t="s">
        <v>114</v>
      </c>
      <c r="C40" s="2" t="s">
        <v>167</v>
      </c>
      <c r="D40" s="2" t="s">
        <v>53</v>
      </c>
      <c r="E40" s="4" t="s">
        <v>30</v>
      </c>
      <c r="F40" s="2" t="s">
        <v>31</v>
      </c>
      <c r="G40" s="4" t="s">
        <v>187</v>
      </c>
      <c r="H40" s="5" t="n">
        <v>175</v>
      </c>
      <c r="I40" s="5" t="n">
        <v>280</v>
      </c>
      <c r="J40" s="5" t="n">
        <f aca="false">(H40+I40)/2</f>
        <v>227.5</v>
      </c>
      <c r="K40" s="12" t="s">
        <v>55</v>
      </c>
      <c r="L40" s="4" t="s">
        <v>188</v>
      </c>
      <c r="M40" s="10" t="s">
        <v>34</v>
      </c>
      <c r="N40" s="4" t="s">
        <v>138</v>
      </c>
      <c r="O40" s="8" t="s">
        <v>26</v>
      </c>
      <c r="P40" s="9" t="s">
        <v>171</v>
      </c>
    </row>
    <row r="41" customFormat="false" ht="53.7" hidden="false" customHeight="false" outlineLevel="0" collapsed="false">
      <c r="A41" s="2" t="n">
        <f aca="false">ROW()-1</f>
        <v>40</v>
      </c>
      <c r="B41" s="14" t="s">
        <v>114</v>
      </c>
      <c r="C41" s="2" t="s">
        <v>140</v>
      </c>
      <c r="D41" s="2" t="s">
        <v>53</v>
      </c>
      <c r="E41" s="4" t="s">
        <v>141</v>
      </c>
      <c r="F41" s="2" t="s">
        <v>20</v>
      </c>
      <c r="G41" s="4" t="s">
        <v>187</v>
      </c>
      <c r="H41" s="5" t="n">
        <v>175</v>
      </c>
      <c r="I41" s="5" t="n">
        <v>280</v>
      </c>
      <c r="J41" s="5" t="n">
        <f aca="false">(H41+I41)/2</f>
        <v>227.5</v>
      </c>
      <c r="K41" s="12" t="s">
        <v>55</v>
      </c>
      <c r="L41" s="4" t="s">
        <v>189</v>
      </c>
      <c r="M41" s="10" t="s">
        <v>50</v>
      </c>
      <c r="N41" s="4" t="s">
        <v>51</v>
      </c>
      <c r="O41" s="8" t="s">
        <v>26</v>
      </c>
      <c r="P41" s="9" t="s">
        <v>144</v>
      </c>
    </row>
    <row r="42" customFormat="false" ht="53.7" hidden="false" customHeight="false" outlineLevel="0" collapsed="false">
      <c r="A42" s="2" t="n">
        <f aca="false">ROW()-1</f>
        <v>41</v>
      </c>
      <c r="B42" s="14" t="s">
        <v>114</v>
      </c>
      <c r="C42" s="2" t="s">
        <v>145</v>
      </c>
      <c r="D42" s="2" t="s">
        <v>53</v>
      </c>
      <c r="E42" s="4" t="s">
        <v>146</v>
      </c>
      <c r="F42" s="2" t="s">
        <v>20</v>
      </c>
      <c r="G42" s="4" t="s">
        <v>187</v>
      </c>
      <c r="H42" s="5" t="n">
        <v>175</v>
      </c>
      <c r="I42" s="5" t="n">
        <v>280</v>
      </c>
      <c r="J42" s="5" t="n">
        <f aca="false">(H42+I42)/2</f>
        <v>227.5</v>
      </c>
      <c r="K42" s="12" t="s">
        <v>55</v>
      </c>
      <c r="L42" s="4" t="s">
        <v>190</v>
      </c>
      <c r="M42" s="10" t="s">
        <v>50</v>
      </c>
      <c r="N42" s="4" t="s">
        <v>51</v>
      </c>
      <c r="O42" s="11" t="s">
        <v>36</v>
      </c>
      <c r="P42" s="9" t="s">
        <v>148</v>
      </c>
    </row>
    <row r="43" customFormat="false" ht="53.7" hidden="false" customHeight="false" outlineLevel="0" collapsed="false">
      <c r="A43" s="2" t="n">
        <f aca="false">ROW()-1</f>
        <v>42</v>
      </c>
      <c r="B43" s="14" t="s">
        <v>114</v>
      </c>
      <c r="C43" s="2" t="s">
        <v>191</v>
      </c>
      <c r="D43" s="2" t="s">
        <v>53</v>
      </c>
      <c r="E43" s="4" t="s">
        <v>192</v>
      </c>
      <c r="F43" s="2" t="s">
        <v>31</v>
      </c>
      <c r="G43" s="4" t="s">
        <v>193</v>
      </c>
      <c r="H43" s="5" t="n">
        <v>165</v>
      </c>
      <c r="I43" s="5" t="n">
        <v>250</v>
      </c>
      <c r="J43" s="5" t="n">
        <f aca="false">(H43+I43)/2</f>
        <v>207.5</v>
      </c>
      <c r="K43" s="12" t="s">
        <v>55</v>
      </c>
      <c r="L43" s="4" t="s">
        <v>188</v>
      </c>
      <c r="M43" s="10" t="s">
        <v>34</v>
      </c>
      <c r="N43" s="4" t="s">
        <v>138</v>
      </c>
      <c r="O43" s="8" t="s">
        <v>26</v>
      </c>
      <c r="P43" s="9" t="s">
        <v>194</v>
      </c>
    </row>
    <row r="44" customFormat="false" ht="43.25" hidden="false" customHeight="false" outlineLevel="0" collapsed="false">
      <c r="A44" s="2" t="n">
        <f aca="false">ROW()-1</f>
        <v>43</v>
      </c>
      <c r="B44" s="14" t="s">
        <v>114</v>
      </c>
      <c r="C44" s="2" t="s">
        <v>172</v>
      </c>
      <c r="D44" s="2" t="s">
        <v>53</v>
      </c>
      <c r="E44" s="4" t="s">
        <v>30</v>
      </c>
      <c r="F44" s="2" t="s">
        <v>31</v>
      </c>
      <c r="G44" s="4" t="s">
        <v>195</v>
      </c>
      <c r="H44" s="5" t="n">
        <v>150</v>
      </c>
      <c r="I44" s="5" t="n">
        <v>230</v>
      </c>
      <c r="J44" s="5" t="n">
        <f aca="false">(H44+I44)/2</f>
        <v>190</v>
      </c>
      <c r="K44" s="12" t="s">
        <v>55</v>
      </c>
      <c r="L44" s="4" t="s">
        <v>196</v>
      </c>
      <c r="M44" s="10" t="s">
        <v>175</v>
      </c>
      <c r="N44" s="4" t="s">
        <v>176</v>
      </c>
      <c r="O44" s="8" t="s">
        <v>26</v>
      </c>
      <c r="P44" s="9" t="s">
        <v>177</v>
      </c>
    </row>
    <row r="45" customFormat="false" ht="53.7" hidden="false" customHeight="false" outlineLevel="0" collapsed="false">
      <c r="A45" s="2" t="n">
        <f aca="false">ROW()-1</f>
        <v>44</v>
      </c>
      <c r="B45" s="14" t="s">
        <v>114</v>
      </c>
      <c r="C45" s="2" t="s">
        <v>129</v>
      </c>
      <c r="D45" s="2" t="s">
        <v>53</v>
      </c>
      <c r="E45" s="4" t="s">
        <v>164</v>
      </c>
      <c r="F45" s="2" t="s">
        <v>20</v>
      </c>
      <c r="G45" s="4" t="s">
        <v>197</v>
      </c>
      <c r="H45" s="5" t="n">
        <v>140</v>
      </c>
      <c r="I45" s="5" t="n">
        <v>215</v>
      </c>
      <c r="J45" s="5" t="n">
        <f aca="false">(H45+I45)/2</f>
        <v>177.5</v>
      </c>
      <c r="K45" s="12" t="s">
        <v>55</v>
      </c>
      <c r="L45" s="4" t="s">
        <v>198</v>
      </c>
      <c r="M45" s="10" t="s">
        <v>133</v>
      </c>
      <c r="N45" s="4" t="s">
        <v>51</v>
      </c>
      <c r="O45" s="8" t="s">
        <v>26</v>
      </c>
      <c r="P45" s="9" t="s">
        <v>134</v>
      </c>
    </row>
    <row r="46" customFormat="false" ht="53.7" hidden="false" customHeight="false" outlineLevel="0" collapsed="false">
      <c r="A46" s="2" t="n">
        <f aca="false">ROW()-1</f>
        <v>45</v>
      </c>
      <c r="B46" s="14" t="s">
        <v>114</v>
      </c>
      <c r="C46" s="2" t="s">
        <v>199</v>
      </c>
      <c r="D46" s="2" t="s">
        <v>200</v>
      </c>
      <c r="E46" s="4" t="s">
        <v>201</v>
      </c>
      <c r="F46" s="2" t="s">
        <v>31</v>
      </c>
      <c r="G46" s="4" t="s">
        <v>202</v>
      </c>
      <c r="H46" s="5" t="n">
        <v>250</v>
      </c>
      <c r="I46" s="5" t="n">
        <v>400</v>
      </c>
      <c r="J46" s="5" t="n">
        <f aca="false">(H46+I46)/2</f>
        <v>325</v>
      </c>
      <c r="K46" s="4" t="s">
        <v>77</v>
      </c>
      <c r="L46" s="4" t="s">
        <v>203</v>
      </c>
      <c r="M46" s="10" t="s">
        <v>204</v>
      </c>
      <c r="N46" s="4" t="s">
        <v>138</v>
      </c>
      <c r="O46" s="8" t="s">
        <v>26</v>
      </c>
      <c r="P46" s="9" t="s">
        <v>205</v>
      </c>
    </row>
    <row r="47" customFormat="false" ht="53.7" hidden="false" customHeight="false" outlineLevel="0" collapsed="false">
      <c r="A47" s="2" t="n">
        <f aca="false">ROW()-1</f>
        <v>46</v>
      </c>
      <c r="B47" s="14" t="s">
        <v>114</v>
      </c>
      <c r="C47" s="2" t="s">
        <v>115</v>
      </c>
      <c r="D47" s="2" t="s">
        <v>75</v>
      </c>
      <c r="E47" s="4" t="s">
        <v>164</v>
      </c>
      <c r="F47" s="2" t="s">
        <v>20</v>
      </c>
      <c r="G47" s="4" t="s">
        <v>206</v>
      </c>
      <c r="H47" s="5" t="n">
        <v>230</v>
      </c>
      <c r="I47" s="5" t="n">
        <v>335</v>
      </c>
      <c r="J47" s="5" t="n">
        <f aca="false">(H47+I47)/2</f>
        <v>282.5</v>
      </c>
      <c r="K47" s="4" t="s">
        <v>77</v>
      </c>
      <c r="L47" s="4" t="s">
        <v>207</v>
      </c>
      <c r="M47" s="10" t="s">
        <v>50</v>
      </c>
      <c r="N47" s="4" t="s">
        <v>51</v>
      </c>
      <c r="O47" s="8" t="s">
        <v>26</v>
      </c>
      <c r="P47" s="9" t="s">
        <v>121</v>
      </c>
    </row>
    <row r="48" customFormat="false" ht="53.7" hidden="false" customHeight="false" outlineLevel="0" collapsed="false">
      <c r="A48" s="2" t="n">
        <f aca="false">ROW()-1</f>
        <v>47</v>
      </c>
      <c r="B48" s="14" t="s">
        <v>114</v>
      </c>
      <c r="C48" s="2" t="s">
        <v>135</v>
      </c>
      <c r="D48" s="2" t="s">
        <v>75</v>
      </c>
      <c r="E48" s="4" t="s">
        <v>30</v>
      </c>
      <c r="F48" s="2" t="s">
        <v>31</v>
      </c>
      <c r="G48" s="4" t="s">
        <v>208</v>
      </c>
      <c r="H48" s="5" t="n">
        <v>190</v>
      </c>
      <c r="I48" s="5" t="n">
        <v>310</v>
      </c>
      <c r="J48" s="5" t="n">
        <f aca="false">(H48+I48)/2</f>
        <v>250</v>
      </c>
      <c r="K48" s="4" t="s">
        <v>77</v>
      </c>
      <c r="L48" s="4" t="s">
        <v>209</v>
      </c>
      <c r="M48" s="10" t="s">
        <v>137</v>
      </c>
      <c r="N48" s="4" t="s">
        <v>138</v>
      </c>
      <c r="O48" s="8" t="s">
        <v>26</v>
      </c>
      <c r="P48" s="9" t="s">
        <v>139</v>
      </c>
    </row>
    <row r="49" customFormat="false" ht="53.7" hidden="false" customHeight="false" outlineLevel="0" collapsed="false">
      <c r="A49" s="2" t="n">
        <f aca="false">ROW()-1</f>
        <v>48</v>
      </c>
      <c r="B49" s="14" t="s">
        <v>114</v>
      </c>
      <c r="C49" s="2" t="s">
        <v>145</v>
      </c>
      <c r="D49" s="2" t="s">
        <v>75</v>
      </c>
      <c r="E49" s="4" t="s">
        <v>146</v>
      </c>
      <c r="F49" s="2" t="s">
        <v>20</v>
      </c>
      <c r="G49" s="4" t="s">
        <v>210</v>
      </c>
      <c r="H49" s="5" t="n">
        <v>190</v>
      </c>
      <c r="I49" s="5" t="n">
        <v>280</v>
      </c>
      <c r="J49" s="5" t="n">
        <f aca="false">(H49+I49)/2</f>
        <v>235</v>
      </c>
      <c r="K49" s="4" t="s">
        <v>77</v>
      </c>
      <c r="L49" s="4" t="s">
        <v>211</v>
      </c>
      <c r="M49" s="10" t="s">
        <v>50</v>
      </c>
      <c r="N49" s="4" t="s">
        <v>51</v>
      </c>
      <c r="O49" s="11" t="s">
        <v>36</v>
      </c>
      <c r="P49" s="9" t="s">
        <v>148</v>
      </c>
    </row>
    <row r="50" customFormat="false" ht="53.7" hidden="false" customHeight="false" outlineLevel="0" collapsed="false">
      <c r="A50" s="2" t="n">
        <f aca="false">ROW()-1</f>
        <v>49</v>
      </c>
      <c r="B50" s="14" t="s">
        <v>114</v>
      </c>
      <c r="C50" s="2" t="s">
        <v>115</v>
      </c>
      <c r="D50" s="2" t="s">
        <v>80</v>
      </c>
      <c r="E50" s="4" t="s">
        <v>117</v>
      </c>
      <c r="F50" s="2" t="s">
        <v>20</v>
      </c>
      <c r="G50" s="4" t="s">
        <v>89</v>
      </c>
      <c r="H50" s="5" t="n">
        <v>185</v>
      </c>
      <c r="I50" s="5" t="n">
        <v>260</v>
      </c>
      <c r="J50" s="5" t="n">
        <f aca="false">(H50+I50)/2</f>
        <v>222.5</v>
      </c>
      <c r="K50" s="4" t="s">
        <v>77</v>
      </c>
      <c r="L50" s="4" t="s">
        <v>212</v>
      </c>
      <c r="M50" s="10" t="s">
        <v>50</v>
      </c>
      <c r="N50" s="4" t="s">
        <v>51</v>
      </c>
      <c r="O50" s="8" t="s">
        <v>26</v>
      </c>
      <c r="P50" s="9" t="s">
        <v>121</v>
      </c>
    </row>
    <row r="51" customFormat="false" ht="53.7" hidden="false" customHeight="false" outlineLevel="0" collapsed="false">
      <c r="A51" s="2" t="n">
        <f aca="false">ROW()-1</f>
        <v>50</v>
      </c>
      <c r="B51" s="14" t="s">
        <v>114</v>
      </c>
      <c r="C51" s="2" t="s">
        <v>191</v>
      </c>
      <c r="D51" s="2" t="s">
        <v>75</v>
      </c>
      <c r="E51" s="4" t="s">
        <v>117</v>
      </c>
      <c r="F51" s="2" t="s">
        <v>20</v>
      </c>
      <c r="G51" s="4" t="s">
        <v>213</v>
      </c>
      <c r="H51" s="5" t="n">
        <v>180</v>
      </c>
      <c r="I51" s="5" t="n">
        <v>255</v>
      </c>
      <c r="J51" s="5" t="n">
        <f aca="false">(H51+I51)/2</f>
        <v>217.5</v>
      </c>
      <c r="K51" s="4" t="s">
        <v>77</v>
      </c>
      <c r="L51" s="4" t="s">
        <v>214</v>
      </c>
      <c r="M51" s="10" t="s">
        <v>50</v>
      </c>
      <c r="N51" s="4" t="s">
        <v>51</v>
      </c>
      <c r="O51" s="8" t="s">
        <v>26</v>
      </c>
      <c r="P51" s="9" t="s">
        <v>194</v>
      </c>
    </row>
    <row r="52" customFormat="false" ht="53.7" hidden="false" customHeight="false" outlineLevel="0" collapsed="false">
      <c r="A52" s="2" t="n">
        <f aca="false">ROW()-1</f>
        <v>51</v>
      </c>
      <c r="B52" s="14" t="s">
        <v>114</v>
      </c>
      <c r="C52" s="2" t="s">
        <v>122</v>
      </c>
      <c r="D52" s="2" t="s">
        <v>75</v>
      </c>
      <c r="E52" s="4" t="s">
        <v>40</v>
      </c>
      <c r="F52" s="2" t="s">
        <v>20</v>
      </c>
      <c r="G52" s="4" t="s">
        <v>213</v>
      </c>
      <c r="H52" s="5" t="n">
        <v>180</v>
      </c>
      <c r="I52" s="5" t="n">
        <v>255</v>
      </c>
      <c r="J52" s="5" t="n">
        <f aca="false">(H52+I52)/2</f>
        <v>217.5</v>
      </c>
      <c r="K52" s="4" t="s">
        <v>77</v>
      </c>
      <c r="L52" s="4" t="s">
        <v>214</v>
      </c>
      <c r="M52" s="7" t="s">
        <v>127</v>
      </c>
      <c r="N52" s="4" t="s">
        <v>51</v>
      </c>
      <c r="O52" s="8" t="s">
        <v>26</v>
      </c>
      <c r="P52" s="9" t="s">
        <v>128</v>
      </c>
    </row>
    <row r="53" customFormat="false" ht="53.7" hidden="false" customHeight="false" outlineLevel="0" collapsed="false">
      <c r="A53" s="2" t="n">
        <f aca="false">ROW()-1</f>
        <v>52</v>
      </c>
      <c r="B53" s="14" t="s">
        <v>114</v>
      </c>
      <c r="C53" s="2" t="s">
        <v>145</v>
      </c>
      <c r="D53" s="2" t="s">
        <v>80</v>
      </c>
      <c r="E53" s="4" t="s">
        <v>146</v>
      </c>
      <c r="F53" s="2" t="s">
        <v>20</v>
      </c>
      <c r="G53" s="4" t="s">
        <v>215</v>
      </c>
      <c r="H53" s="5" t="n">
        <v>180</v>
      </c>
      <c r="I53" s="5" t="n">
        <v>255</v>
      </c>
      <c r="J53" s="5" t="n">
        <f aca="false">(H53+I53)/2</f>
        <v>217.5</v>
      </c>
      <c r="K53" s="4" t="s">
        <v>77</v>
      </c>
      <c r="L53" s="4" t="s">
        <v>216</v>
      </c>
      <c r="M53" s="10" t="s">
        <v>50</v>
      </c>
      <c r="N53" s="4" t="s">
        <v>51</v>
      </c>
      <c r="O53" s="11" t="s">
        <v>36</v>
      </c>
      <c r="P53" s="9" t="s">
        <v>148</v>
      </c>
    </row>
    <row r="54" customFormat="false" ht="53.7" hidden="false" customHeight="false" outlineLevel="0" collapsed="false">
      <c r="A54" s="2" t="n">
        <f aca="false">ROW()-1</f>
        <v>53</v>
      </c>
      <c r="B54" s="14" t="s">
        <v>114</v>
      </c>
      <c r="C54" s="2" t="s">
        <v>135</v>
      </c>
      <c r="D54" s="2" t="s">
        <v>80</v>
      </c>
      <c r="E54" s="4" t="s">
        <v>164</v>
      </c>
      <c r="F54" s="2" t="s">
        <v>20</v>
      </c>
      <c r="G54" s="4" t="s">
        <v>217</v>
      </c>
      <c r="H54" s="5" t="n">
        <v>165</v>
      </c>
      <c r="I54" s="5" t="n">
        <v>240</v>
      </c>
      <c r="J54" s="5" t="n">
        <f aca="false">(H54+I54)/2</f>
        <v>202.5</v>
      </c>
      <c r="K54" s="4" t="s">
        <v>77</v>
      </c>
      <c r="L54" s="4" t="s">
        <v>218</v>
      </c>
      <c r="M54" s="10" t="s">
        <v>137</v>
      </c>
      <c r="N54" s="4" t="s">
        <v>51</v>
      </c>
      <c r="O54" s="8" t="s">
        <v>26</v>
      </c>
      <c r="P54" s="9" t="s">
        <v>139</v>
      </c>
    </row>
    <row r="55" customFormat="false" ht="53.7" hidden="false" customHeight="false" outlineLevel="0" collapsed="false">
      <c r="A55" s="2" t="n">
        <f aca="false">ROW()-1</f>
        <v>54</v>
      </c>
      <c r="B55" s="14" t="s">
        <v>114</v>
      </c>
      <c r="C55" s="2" t="s">
        <v>140</v>
      </c>
      <c r="D55" s="2" t="s">
        <v>80</v>
      </c>
      <c r="E55" s="4" t="s">
        <v>141</v>
      </c>
      <c r="F55" s="2" t="s">
        <v>20</v>
      </c>
      <c r="G55" s="4" t="s">
        <v>217</v>
      </c>
      <c r="H55" s="5" t="n">
        <v>165</v>
      </c>
      <c r="I55" s="5" t="n">
        <v>240</v>
      </c>
      <c r="J55" s="5" t="n">
        <f aca="false">(H55+I55)/2</f>
        <v>202.5</v>
      </c>
      <c r="K55" s="4" t="s">
        <v>77</v>
      </c>
      <c r="L55" s="4" t="s">
        <v>219</v>
      </c>
      <c r="M55" s="10" t="s">
        <v>50</v>
      </c>
      <c r="N55" s="4" t="s">
        <v>51</v>
      </c>
      <c r="O55" s="8" t="s">
        <v>26</v>
      </c>
      <c r="P55" s="9" t="s">
        <v>144</v>
      </c>
    </row>
    <row r="56" customFormat="false" ht="53.7" hidden="false" customHeight="false" outlineLevel="0" collapsed="false">
      <c r="A56" s="2" t="n">
        <f aca="false">ROW()-1</f>
        <v>55</v>
      </c>
      <c r="B56" s="14" t="s">
        <v>114</v>
      </c>
      <c r="C56" s="2" t="s">
        <v>129</v>
      </c>
      <c r="D56" s="2" t="s">
        <v>80</v>
      </c>
      <c r="E56" s="4" t="s">
        <v>117</v>
      </c>
      <c r="F56" s="2" t="s">
        <v>20</v>
      </c>
      <c r="G56" s="4" t="s">
        <v>220</v>
      </c>
      <c r="H56" s="5" t="n">
        <v>150</v>
      </c>
      <c r="I56" s="5" t="n">
        <v>225</v>
      </c>
      <c r="J56" s="5" t="n">
        <f aca="false">(H56+I56)/2</f>
        <v>187.5</v>
      </c>
      <c r="K56" s="4" t="s">
        <v>77</v>
      </c>
      <c r="L56" s="4" t="s">
        <v>221</v>
      </c>
      <c r="M56" s="10" t="s">
        <v>133</v>
      </c>
      <c r="N56" s="4" t="s">
        <v>51</v>
      </c>
      <c r="O56" s="8" t="s">
        <v>26</v>
      </c>
      <c r="P56" s="9" t="s">
        <v>134</v>
      </c>
    </row>
    <row r="57" customFormat="false" ht="53.7" hidden="false" customHeight="false" outlineLevel="0" collapsed="false">
      <c r="A57" s="2" t="n">
        <f aca="false">ROW()-1</f>
        <v>56</v>
      </c>
      <c r="B57" s="14" t="s">
        <v>114</v>
      </c>
      <c r="C57" s="2" t="s">
        <v>140</v>
      </c>
      <c r="D57" s="2" t="s">
        <v>222</v>
      </c>
      <c r="E57" s="4" t="s">
        <v>141</v>
      </c>
      <c r="F57" s="2" t="s">
        <v>20</v>
      </c>
      <c r="G57" s="4" t="s">
        <v>223</v>
      </c>
      <c r="H57" s="5" t="n">
        <v>130</v>
      </c>
      <c r="I57" s="5" t="n">
        <v>190</v>
      </c>
      <c r="J57" s="5" t="n">
        <f aca="false">(H57+I57)/2</f>
        <v>160</v>
      </c>
      <c r="K57" s="4" t="s">
        <v>77</v>
      </c>
      <c r="L57" s="4" t="s">
        <v>224</v>
      </c>
      <c r="M57" s="10" t="s">
        <v>50</v>
      </c>
      <c r="N57" s="4" t="s">
        <v>51</v>
      </c>
      <c r="O57" s="8" t="s">
        <v>26</v>
      </c>
      <c r="P57" s="9" t="s">
        <v>144</v>
      </c>
    </row>
    <row r="58" customFormat="false" ht="43.25" hidden="false" customHeight="false" outlineLevel="0" collapsed="false">
      <c r="A58" s="2" t="n">
        <f aca="false">ROW()-1</f>
        <v>57</v>
      </c>
      <c r="B58" s="14" t="s">
        <v>114</v>
      </c>
      <c r="C58" s="2" t="s">
        <v>225</v>
      </c>
      <c r="D58" s="2" t="s">
        <v>75</v>
      </c>
      <c r="E58" s="4" t="s">
        <v>226</v>
      </c>
      <c r="F58" s="2" t="s">
        <v>31</v>
      </c>
      <c r="G58" s="4" t="s">
        <v>227</v>
      </c>
      <c r="H58" s="5" t="n">
        <v>200</v>
      </c>
      <c r="I58" s="5" t="n">
        <v>300</v>
      </c>
      <c r="J58" s="5" t="n">
        <f aca="false">(H58+I58)/2</f>
        <v>250</v>
      </c>
      <c r="K58" s="4" t="s">
        <v>228</v>
      </c>
      <c r="L58" s="4" t="s">
        <v>229</v>
      </c>
      <c r="M58" s="4" t="s">
        <v>230</v>
      </c>
      <c r="N58" s="4" t="s">
        <v>231</v>
      </c>
      <c r="O58" s="8" t="s">
        <v>26</v>
      </c>
      <c r="P58" s="9" t="s">
        <v>232</v>
      </c>
    </row>
    <row r="59" customFormat="false" ht="43.25" hidden="false" customHeight="false" outlineLevel="0" collapsed="false">
      <c r="A59" s="2" t="n">
        <f aca="false">ROW()-1</f>
        <v>58</v>
      </c>
      <c r="B59" s="14" t="s">
        <v>114</v>
      </c>
      <c r="C59" s="2" t="s">
        <v>225</v>
      </c>
      <c r="D59" s="2" t="s">
        <v>233</v>
      </c>
      <c r="E59" s="4" t="s">
        <v>234</v>
      </c>
      <c r="F59" s="2" t="s">
        <v>31</v>
      </c>
      <c r="G59" s="4" t="s">
        <v>235</v>
      </c>
      <c r="H59" s="5" t="n">
        <v>200</v>
      </c>
      <c r="I59" s="5" t="n">
        <v>300</v>
      </c>
      <c r="J59" s="5" t="n">
        <f aca="false">(H59+I59)/2</f>
        <v>250</v>
      </c>
      <c r="K59" s="4" t="s">
        <v>228</v>
      </c>
      <c r="L59" s="4" t="s">
        <v>236</v>
      </c>
      <c r="M59" s="4" t="s">
        <v>230</v>
      </c>
      <c r="N59" s="4" t="s">
        <v>231</v>
      </c>
      <c r="O59" s="8" t="s">
        <v>26</v>
      </c>
      <c r="P59" s="9" t="s">
        <v>232</v>
      </c>
    </row>
    <row r="60" customFormat="false" ht="43.25" hidden="false" customHeight="false" outlineLevel="0" collapsed="false">
      <c r="A60" s="2" t="n">
        <f aca="false">ROW()-1</f>
        <v>59</v>
      </c>
      <c r="B60" s="14" t="s">
        <v>114</v>
      </c>
      <c r="C60" s="2" t="s">
        <v>237</v>
      </c>
      <c r="D60" s="2" t="s">
        <v>238</v>
      </c>
      <c r="E60" s="4" t="s">
        <v>239</v>
      </c>
      <c r="F60" s="2" t="s">
        <v>58</v>
      </c>
      <c r="G60" s="4" t="s">
        <v>240</v>
      </c>
      <c r="H60" s="5" t="n">
        <v>140</v>
      </c>
      <c r="I60" s="5" t="n">
        <v>280</v>
      </c>
      <c r="J60" s="5" t="n">
        <f aca="false">(H60+I60)/2</f>
        <v>210</v>
      </c>
      <c r="K60" s="4" t="s">
        <v>228</v>
      </c>
      <c r="L60" s="4" t="s">
        <v>241</v>
      </c>
      <c r="M60" s="4" t="s">
        <v>242</v>
      </c>
      <c r="N60" s="4" t="s">
        <v>243</v>
      </c>
      <c r="O60" s="8" t="s">
        <v>26</v>
      </c>
      <c r="P60" s="9" t="s">
        <v>244</v>
      </c>
    </row>
    <row r="61" customFormat="false" ht="43.25" hidden="false" customHeight="false" outlineLevel="0" collapsed="false">
      <c r="A61" s="2" t="n">
        <f aca="false">ROW()-1</f>
        <v>60</v>
      </c>
      <c r="B61" s="14" t="s">
        <v>114</v>
      </c>
      <c r="C61" s="2" t="s">
        <v>237</v>
      </c>
      <c r="D61" s="2" t="s">
        <v>245</v>
      </c>
      <c r="E61" s="4" t="s">
        <v>246</v>
      </c>
      <c r="F61" s="2" t="s">
        <v>58</v>
      </c>
      <c r="G61" s="4" t="s">
        <v>240</v>
      </c>
      <c r="H61" s="5" t="n">
        <v>140</v>
      </c>
      <c r="I61" s="5" t="n">
        <v>280</v>
      </c>
      <c r="J61" s="5" t="n">
        <f aca="false">(H61+I61)/2</f>
        <v>210</v>
      </c>
      <c r="K61" s="4" t="s">
        <v>228</v>
      </c>
      <c r="L61" s="4" t="s">
        <v>247</v>
      </c>
      <c r="M61" s="4" t="s">
        <v>242</v>
      </c>
      <c r="N61" s="4" t="s">
        <v>243</v>
      </c>
      <c r="O61" s="8" t="s">
        <v>26</v>
      </c>
      <c r="P61" s="9" t="s">
        <v>244</v>
      </c>
    </row>
    <row r="62" customFormat="false" ht="53.7" hidden="false" customHeight="false" outlineLevel="0" collapsed="false">
      <c r="A62" s="2" t="n">
        <f aca="false">ROW()-1</f>
        <v>61</v>
      </c>
      <c r="B62" s="14" t="s">
        <v>114</v>
      </c>
      <c r="C62" s="2" t="s">
        <v>248</v>
      </c>
      <c r="D62" s="2" t="s">
        <v>91</v>
      </c>
      <c r="E62" s="4" t="s">
        <v>40</v>
      </c>
      <c r="F62" s="2" t="s">
        <v>20</v>
      </c>
      <c r="G62" s="4" t="s">
        <v>249</v>
      </c>
      <c r="H62" s="5" t="n">
        <v>400</v>
      </c>
      <c r="I62" s="5" t="n">
        <v>550</v>
      </c>
      <c r="J62" s="5" t="n">
        <f aca="false">(H62+I62)/2</f>
        <v>475</v>
      </c>
      <c r="K62" s="13" t="s">
        <v>93</v>
      </c>
      <c r="L62" s="4" t="s">
        <v>250</v>
      </c>
      <c r="M62" s="10" t="s">
        <v>50</v>
      </c>
      <c r="N62" s="4" t="s">
        <v>51</v>
      </c>
      <c r="O62" s="8" t="s">
        <v>26</v>
      </c>
      <c r="P62" s="9" t="s">
        <v>251</v>
      </c>
    </row>
    <row r="63" customFormat="false" ht="53.7" hidden="false" customHeight="false" outlineLevel="0" collapsed="false">
      <c r="A63" s="2" t="n">
        <f aca="false">ROW()-1</f>
        <v>62</v>
      </c>
      <c r="B63" s="14" t="s">
        <v>114</v>
      </c>
      <c r="C63" s="2" t="s">
        <v>115</v>
      </c>
      <c r="D63" s="2" t="s">
        <v>91</v>
      </c>
      <c r="E63" s="4" t="s">
        <v>117</v>
      </c>
      <c r="F63" s="2" t="s">
        <v>20</v>
      </c>
      <c r="G63" s="4" t="s">
        <v>252</v>
      </c>
      <c r="H63" s="5" t="n">
        <v>350</v>
      </c>
      <c r="I63" s="5" t="n">
        <v>450</v>
      </c>
      <c r="J63" s="5" t="n">
        <f aca="false">(H63+I63)/2</f>
        <v>400</v>
      </c>
      <c r="K63" s="13" t="s">
        <v>93</v>
      </c>
      <c r="L63" s="4" t="s">
        <v>253</v>
      </c>
      <c r="M63" s="10" t="s">
        <v>50</v>
      </c>
      <c r="N63" s="4" t="s">
        <v>51</v>
      </c>
      <c r="O63" s="11" t="s">
        <v>36</v>
      </c>
      <c r="P63" s="9" t="s">
        <v>121</v>
      </c>
    </row>
    <row r="64" customFormat="false" ht="53.7" hidden="false" customHeight="false" outlineLevel="0" collapsed="false">
      <c r="A64" s="2" t="n">
        <f aca="false">ROW()-1</f>
        <v>63</v>
      </c>
      <c r="B64" s="14" t="s">
        <v>114</v>
      </c>
      <c r="C64" s="2" t="s">
        <v>115</v>
      </c>
      <c r="D64" s="2" t="s">
        <v>95</v>
      </c>
      <c r="E64" s="4" t="s">
        <v>117</v>
      </c>
      <c r="F64" s="2" t="s">
        <v>20</v>
      </c>
      <c r="G64" s="4" t="s">
        <v>252</v>
      </c>
      <c r="H64" s="5" t="n">
        <v>350</v>
      </c>
      <c r="I64" s="5" t="n">
        <v>450</v>
      </c>
      <c r="J64" s="5" t="n">
        <f aca="false">(H64+I64)/2</f>
        <v>400</v>
      </c>
      <c r="K64" s="13" t="s">
        <v>93</v>
      </c>
      <c r="L64" s="4" t="s">
        <v>254</v>
      </c>
      <c r="M64" s="10" t="s">
        <v>50</v>
      </c>
      <c r="N64" s="4" t="s">
        <v>51</v>
      </c>
      <c r="O64" s="11" t="s">
        <v>36</v>
      </c>
      <c r="P64" s="9" t="s">
        <v>121</v>
      </c>
    </row>
    <row r="65" customFormat="false" ht="53.7" hidden="false" customHeight="false" outlineLevel="0" collapsed="false">
      <c r="A65" s="2" t="n">
        <f aca="false">ROW()-1</f>
        <v>64</v>
      </c>
      <c r="B65" s="14" t="s">
        <v>114</v>
      </c>
      <c r="C65" s="2" t="s">
        <v>115</v>
      </c>
      <c r="D65" s="2" t="s">
        <v>255</v>
      </c>
      <c r="E65" s="4" t="s">
        <v>117</v>
      </c>
      <c r="F65" s="2" t="s">
        <v>20</v>
      </c>
      <c r="G65" s="4" t="s">
        <v>252</v>
      </c>
      <c r="H65" s="5" t="n">
        <v>350</v>
      </c>
      <c r="I65" s="5" t="n">
        <v>450</v>
      </c>
      <c r="J65" s="5" t="n">
        <f aca="false">(H65+I65)/2</f>
        <v>400</v>
      </c>
      <c r="K65" s="13" t="s">
        <v>93</v>
      </c>
      <c r="L65" s="4" t="s">
        <v>256</v>
      </c>
      <c r="M65" s="10" t="s">
        <v>50</v>
      </c>
      <c r="N65" s="4" t="s">
        <v>51</v>
      </c>
      <c r="O65" s="11" t="s">
        <v>36</v>
      </c>
      <c r="P65" s="9" t="s">
        <v>121</v>
      </c>
    </row>
    <row r="66" customFormat="false" ht="53.7" hidden="false" customHeight="false" outlineLevel="0" collapsed="false">
      <c r="A66" s="2" t="n">
        <f aca="false">ROW()-1</f>
        <v>65</v>
      </c>
      <c r="B66" s="14" t="s">
        <v>114</v>
      </c>
      <c r="C66" s="2" t="s">
        <v>122</v>
      </c>
      <c r="D66" s="2" t="s">
        <v>95</v>
      </c>
      <c r="E66" s="4" t="s">
        <v>19</v>
      </c>
      <c r="F66" s="2" t="s">
        <v>20</v>
      </c>
      <c r="G66" s="4" t="s">
        <v>257</v>
      </c>
      <c r="H66" s="5" t="n">
        <v>350</v>
      </c>
      <c r="I66" s="5" t="n">
        <v>425</v>
      </c>
      <c r="J66" s="5" t="n">
        <f aca="false">(H66+I66)/2</f>
        <v>387.5</v>
      </c>
      <c r="K66" s="13" t="s">
        <v>93</v>
      </c>
      <c r="L66" s="4" t="s">
        <v>258</v>
      </c>
      <c r="M66" s="7" t="s">
        <v>127</v>
      </c>
      <c r="N66" s="4" t="s">
        <v>51</v>
      </c>
      <c r="O66" s="8" t="s">
        <v>26</v>
      </c>
      <c r="P66" s="9" t="s">
        <v>128</v>
      </c>
    </row>
    <row r="67" customFormat="false" ht="53.7" hidden="false" customHeight="false" outlineLevel="0" collapsed="false">
      <c r="A67" s="2" t="n">
        <f aca="false">ROW()-1</f>
        <v>66</v>
      </c>
      <c r="B67" s="14" t="s">
        <v>114</v>
      </c>
      <c r="C67" s="2" t="s">
        <v>115</v>
      </c>
      <c r="D67" s="2" t="s">
        <v>101</v>
      </c>
      <c r="E67" s="4" t="s">
        <v>117</v>
      </c>
      <c r="F67" s="2" t="s">
        <v>20</v>
      </c>
      <c r="G67" s="4" t="s">
        <v>259</v>
      </c>
      <c r="H67" s="5" t="n">
        <v>330</v>
      </c>
      <c r="I67" s="5" t="n">
        <v>430</v>
      </c>
      <c r="J67" s="5" t="n">
        <f aca="false">(H67+I67)/2</f>
        <v>380</v>
      </c>
      <c r="K67" s="13" t="s">
        <v>93</v>
      </c>
      <c r="L67" s="4" t="s">
        <v>260</v>
      </c>
      <c r="M67" s="10" t="s">
        <v>50</v>
      </c>
      <c r="N67" s="4" t="s">
        <v>51</v>
      </c>
      <c r="O67" s="8" t="s">
        <v>26</v>
      </c>
      <c r="P67" s="9" t="s">
        <v>121</v>
      </c>
    </row>
    <row r="68" customFormat="false" ht="53.7" hidden="false" customHeight="false" outlineLevel="0" collapsed="false">
      <c r="A68" s="2" t="n">
        <f aca="false">ROW()-1</f>
        <v>67</v>
      </c>
      <c r="B68" s="14" t="s">
        <v>114</v>
      </c>
      <c r="C68" s="2" t="s">
        <v>140</v>
      </c>
      <c r="D68" s="2" t="s">
        <v>95</v>
      </c>
      <c r="E68" s="4" t="s">
        <v>141</v>
      </c>
      <c r="F68" s="2" t="s">
        <v>20</v>
      </c>
      <c r="G68" s="4" t="s">
        <v>261</v>
      </c>
      <c r="H68" s="5" t="n">
        <v>320</v>
      </c>
      <c r="I68" s="5" t="n">
        <v>420</v>
      </c>
      <c r="J68" s="5" t="n">
        <f aca="false">(H68+I68)/2</f>
        <v>370</v>
      </c>
      <c r="K68" s="13" t="s">
        <v>93</v>
      </c>
      <c r="L68" s="4" t="s">
        <v>256</v>
      </c>
      <c r="M68" s="10" t="s">
        <v>50</v>
      </c>
      <c r="N68" s="4" t="s">
        <v>51</v>
      </c>
      <c r="O68" s="8" t="s">
        <v>26</v>
      </c>
      <c r="P68" s="9" t="s">
        <v>144</v>
      </c>
    </row>
    <row r="69" customFormat="false" ht="53.7" hidden="false" customHeight="false" outlineLevel="0" collapsed="false">
      <c r="A69" s="2" t="n">
        <f aca="false">ROW()-1</f>
        <v>68</v>
      </c>
      <c r="B69" s="14" t="s">
        <v>114</v>
      </c>
      <c r="C69" s="2" t="s">
        <v>167</v>
      </c>
      <c r="D69" s="2" t="s">
        <v>91</v>
      </c>
      <c r="E69" s="4" t="s">
        <v>262</v>
      </c>
      <c r="F69" s="2" t="s">
        <v>31</v>
      </c>
      <c r="G69" s="4" t="s">
        <v>263</v>
      </c>
      <c r="H69" s="5" t="n">
        <v>300</v>
      </c>
      <c r="I69" s="5" t="n">
        <v>420</v>
      </c>
      <c r="J69" s="5" t="n">
        <f aca="false">(H69+I69)/2</f>
        <v>360</v>
      </c>
      <c r="K69" s="13" t="s">
        <v>93</v>
      </c>
      <c r="L69" s="4" t="s">
        <v>264</v>
      </c>
      <c r="M69" s="10" t="s">
        <v>34</v>
      </c>
      <c r="N69" s="4" t="s">
        <v>138</v>
      </c>
      <c r="O69" s="8" t="s">
        <v>26</v>
      </c>
      <c r="P69" s="9" t="s">
        <v>171</v>
      </c>
    </row>
    <row r="70" customFormat="false" ht="43.25" hidden="false" customHeight="false" outlineLevel="0" collapsed="false">
      <c r="A70" s="2" t="n">
        <f aca="false">ROW()-1</f>
        <v>69</v>
      </c>
      <c r="B70" s="14" t="s">
        <v>114</v>
      </c>
      <c r="C70" s="2" t="s">
        <v>153</v>
      </c>
      <c r="D70" s="2" t="s">
        <v>95</v>
      </c>
      <c r="E70" s="4" t="s">
        <v>265</v>
      </c>
      <c r="F70" s="2" t="s">
        <v>20</v>
      </c>
      <c r="G70" s="4" t="s">
        <v>263</v>
      </c>
      <c r="H70" s="5" t="n">
        <v>300</v>
      </c>
      <c r="I70" s="5" t="n">
        <v>420</v>
      </c>
      <c r="J70" s="5" t="n">
        <f aca="false">(H70+I70)/2</f>
        <v>360</v>
      </c>
      <c r="K70" s="13" t="s">
        <v>93</v>
      </c>
      <c r="L70" s="4" t="s">
        <v>266</v>
      </c>
      <c r="M70" s="10" t="s">
        <v>156</v>
      </c>
      <c r="N70" s="4" t="s">
        <v>157</v>
      </c>
      <c r="O70" s="8" t="s">
        <v>26</v>
      </c>
      <c r="P70" s="9" t="s">
        <v>158</v>
      </c>
    </row>
    <row r="71" customFormat="false" ht="53.7" hidden="false" customHeight="false" outlineLevel="0" collapsed="false">
      <c r="A71" s="2" t="n">
        <f aca="false">ROW()-1</f>
        <v>70</v>
      </c>
      <c r="B71" s="14" t="s">
        <v>114</v>
      </c>
      <c r="C71" s="2" t="s">
        <v>145</v>
      </c>
      <c r="D71" s="2" t="s">
        <v>91</v>
      </c>
      <c r="E71" s="4" t="s">
        <v>146</v>
      </c>
      <c r="F71" s="2" t="s">
        <v>20</v>
      </c>
      <c r="G71" s="4" t="s">
        <v>263</v>
      </c>
      <c r="H71" s="5" t="n">
        <v>300</v>
      </c>
      <c r="I71" s="5" t="n">
        <v>420</v>
      </c>
      <c r="J71" s="5" t="n">
        <f aca="false">(H71+I71)/2</f>
        <v>360</v>
      </c>
      <c r="K71" s="13" t="s">
        <v>93</v>
      </c>
      <c r="L71" s="4" t="s">
        <v>267</v>
      </c>
      <c r="M71" s="10" t="s">
        <v>50</v>
      </c>
      <c r="N71" s="4" t="s">
        <v>51</v>
      </c>
      <c r="O71" s="11" t="s">
        <v>36</v>
      </c>
      <c r="P71" s="9" t="s">
        <v>148</v>
      </c>
    </row>
    <row r="72" customFormat="false" ht="53.7" hidden="false" customHeight="false" outlineLevel="0" collapsed="false">
      <c r="A72" s="2" t="n">
        <f aca="false">ROW()-1</f>
        <v>71</v>
      </c>
      <c r="B72" s="14" t="s">
        <v>114</v>
      </c>
      <c r="C72" s="2" t="s">
        <v>191</v>
      </c>
      <c r="D72" s="2" t="s">
        <v>91</v>
      </c>
      <c r="E72" s="4" t="s">
        <v>268</v>
      </c>
      <c r="F72" s="2" t="s">
        <v>31</v>
      </c>
      <c r="G72" s="4" t="s">
        <v>269</v>
      </c>
      <c r="H72" s="5" t="n">
        <v>300</v>
      </c>
      <c r="I72" s="5" t="n">
        <v>400</v>
      </c>
      <c r="J72" s="5" t="n">
        <f aca="false">(H72+I72)/2</f>
        <v>350</v>
      </c>
      <c r="K72" s="13" t="s">
        <v>93</v>
      </c>
      <c r="L72" s="4" t="s">
        <v>270</v>
      </c>
      <c r="M72" s="10" t="s">
        <v>34</v>
      </c>
      <c r="N72" s="4" t="s">
        <v>138</v>
      </c>
      <c r="O72" s="8" t="s">
        <v>26</v>
      </c>
      <c r="P72" s="9" t="s">
        <v>194</v>
      </c>
    </row>
    <row r="73" customFormat="false" ht="43.25" hidden="false" customHeight="false" outlineLevel="0" collapsed="false">
      <c r="A73" s="2" t="n">
        <f aca="false">ROW()-1</f>
        <v>72</v>
      </c>
      <c r="B73" s="14" t="s">
        <v>114</v>
      </c>
      <c r="C73" s="2" t="s">
        <v>153</v>
      </c>
      <c r="D73" s="2" t="s">
        <v>101</v>
      </c>
      <c r="E73" s="4" t="s">
        <v>265</v>
      </c>
      <c r="F73" s="2" t="s">
        <v>20</v>
      </c>
      <c r="G73" s="4" t="s">
        <v>269</v>
      </c>
      <c r="H73" s="5" t="n">
        <v>300</v>
      </c>
      <c r="I73" s="5" t="n">
        <v>400</v>
      </c>
      <c r="J73" s="5" t="n">
        <f aca="false">(H73+I73)/2</f>
        <v>350</v>
      </c>
      <c r="K73" s="13" t="s">
        <v>93</v>
      </c>
      <c r="L73" s="4" t="s">
        <v>271</v>
      </c>
      <c r="M73" s="10" t="s">
        <v>156</v>
      </c>
      <c r="N73" s="4" t="s">
        <v>157</v>
      </c>
      <c r="O73" s="8" t="s">
        <v>26</v>
      </c>
      <c r="P73" s="9" t="s">
        <v>158</v>
      </c>
    </row>
    <row r="74" customFormat="false" ht="53.7" hidden="false" customHeight="false" outlineLevel="0" collapsed="false">
      <c r="A74" s="2" t="n">
        <f aca="false">ROW()-1</f>
        <v>73</v>
      </c>
      <c r="B74" s="14" t="s">
        <v>114</v>
      </c>
      <c r="C74" s="2" t="s">
        <v>129</v>
      </c>
      <c r="D74" s="2" t="s">
        <v>91</v>
      </c>
      <c r="E74" s="4" t="s">
        <v>117</v>
      </c>
      <c r="F74" s="2" t="s">
        <v>20</v>
      </c>
      <c r="G74" s="4" t="s">
        <v>272</v>
      </c>
      <c r="H74" s="5" t="n">
        <v>250</v>
      </c>
      <c r="I74" s="5" t="n">
        <v>350</v>
      </c>
      <c r="J74" s="5" t="n">
        <f aca="false">(H74+I74)/2</f>
        <v>300</v>
      </c>
      <c r="K74" s="13" t="s">
        <v>93</v>
      </c>
      <c r="L74" s="4" t="s">
        <v>273</v>
      </c>
      <c r="M74" s="10" t="s">
        <v>133</v>
      </c>
      <c r="N74" s="4" t="s">
        <v>51</v>
      </c>
      <c r="O74" s="8" t="s">
        <v>26</v>
      </c>
      <c r="P74" s="9" t="s">
        <v>134</v>
      </c>
    </row>
    <row r="75" customFormat="false" ht="43.25" hidden="false" customHeight="false" outlineLevel="0" collapsed="false">
      <c r="A75" s="2" t="n">
        <f aca="false">ROW()-1</f>
        <v>74</v>
      </c>
      <c r="B75" s="14" t="s">
        <v>114</v>
      </c>
      <c r="C75" s="2" t="s">
        <v>172</v>
      </c>
      <c r="D75" s="2" t="s">
        <v>91</v>
      </c>
      <c r="E75" s="4" t="s">
        <v>30</v>
      </c>
      <c r="F75" s="2" t="s">
        <v>31</v>
      </c>
      <c r="G75" s="4" t="s">
        <v>272</v>
      </c>
      <c r="H75" s="5" t="n">
        <v>250</v>
      </c>
      <c r="I75" s="5" t="n">
        <v>350</v>
      </c>
      <c r="J75" s="5" t="n">
        <f aca="false">(H75+I75)/2</f>
        <v>300</v>
      </c>
      <c r="K75" s="13" t="s">
        <v>93</v>
      </c>
      <c r="L75" s="4" t="s">
        <v>274</v>
      </c>
      <c r="M75" s="10" t="s">
        <v>175</v>
      </c>
      <c r="N75" s="4" t="s">
        <v>176</v>
      </c>
      <c r="O75" s="8" t="s">
        <v>26</v>
      </c>
      <c r="P75" s="9" t="s">
        <v>177</v>
      </c>
    </row>
    <row r="76" customFormat="false" ht="53.7" hidden="false" customHeight="false" outlineLevel="0" collapsed="false">
      <c r="A76" s="2" t="n">
        <f aca="false">ROW()-1</f>
        <v>75</v>
      </c>
      <c r="B76" s="15" t="s">
        <v>275</v>
      </c>
      <c r="C76" s="2" t="s">
        <v>276</v>
      </c>
      <c r="D76" s="2" t="s">
        <v>116</v>
      </c>
      <c r="E76" s="4" t="s">
        <v>277</v>
      </c>
      <c r="F76" s="2" t="s">
        <v>20</v>
      </c>
      <c r="G76" s="4" t="s">
        <v>278</v>
      </c>
      <c r="H76" s="5" t="n">
        <v>170</v>
      </c>
      <c r="I76" s="5" t="n">
        <v>245</v>
      </c>
      <c r="J76" s="5" t="n">
        <f aca="false">(H76+I76)/2</f>
        <v>207.5</v>
      </c>
      <c r="K76" s="6" t="s">
        <v>119</v>
      </c>
      <c r="L76" s="4" t="s">
        <v>279</v>
      </c>
      <c r="M76" s="10" t="s">
        <v>280</v>
      </c>
      <c r="N76" s="4" t="s">
        <v>51</v>
      </c>
      <c r="O76" s="8" t="s">
        <v>26</v>
      </c>
      <c r="P76" s="9" t="s">
        <v>281</v>
      </c>
    </row>
    <row r="77" customFormat="false" ht="53.7" hidden="false" customHeight="false" outlineLevel="0" collapsed="false">
      <c r="A77" s="2" t="n">
        <f aca="false">ROW()-1</f>
        <v>76</v>
      </c>
      <c r="B77" s="15" t="s">
        <v>275</v>
      </c>
      <c r="C77" s="2" t="s">
        <v>282</v>
      </c>
      <c r="D77" s="2" t="s">
        <v>130</v>
      </c>
      <c r="E77" s="4" t="s">
        <v>117</v>
      </c>
      <c r="F77" s="2" t="s">
        <v>31</v>
      </c>
      <c r="G77" s="4" t="s">
        <v>283</v>
      </c>
      <c r="H77" s="5" t="n">
        <v>155</v>
      </c>
      <c r="I77" s="5" t="n">
        <v>235</v>
      </c>
      <c r="J77" s="5" t="n">
        <f aca="false">(H77+I77)/2</f>
        <v>195</v>
      </c>
      <c r="K77" s="6" t="s">
        <v>119</v>
      </c>
      <c r="L77" s="4" t="s">
        <v>284</v>
      </c>
      <c r="M77" s="10" t="s">
        <v>34</v>
      </c>
      <c r="N77" s="4" t="s">
        <v>138</v>
      </c>
      <c r="O77" s="8" t="s">
        <v>26</v>
      </c>
      <c r="P77" s="9" t="s">
        <v>285</v>
      </c>
    </row>
    <row r="78" customFormat="false" ht="53.7" hidden="false" customHeight="false" outlineLevel="0" collapsed="false">
      <c r="A78" s="2" t="n">
        <f aca="false">ROW()-1</f>
        <v>77</v>
      </c>
      <c r="B78" s="15" t="s">
        <v>275</v>
      </c>
      <c r="C78" s="2" t="s">
        <v>286</v>
      </c>
      <c r="D78" s="2" t="s">
        <v>116</v>
      </c>
      <c r="E78" s="4" t="s">
        <v>117</v>
      </c>
      <c r="F78" s="2" t="s">
        <v>20</v>
      </c>
      <c r="G78" s="4" t="s">
        <v>287</v>
      </c>
      <c r="H78" s="5" t="n">
        <v>155</v>
      </c>
      <c r="I78" s="5" t="n">
        <v>225</v>
      </c>
      <c r="J78" s="5" t="n">
        <f aca="false">(H78+I78)/2</f>
        <v>190</v>
      </c>
      <c r="K78" s="6" t="s">
        <v>119</v>
      </c>
      <c r="L78" s="4" t="s">
        <v>288</v>
      </c>
      <c r="M78" s="10" t="s">
        <v>289</v>
      </c>
      <c r="N78" s="4" t="s">
        <v>51</v>
      </c>
      <c r="O78" s="8" t="s">
        <v>26</v>
      </c>
      <c r="P78" s="9" t="s">
        <v>290</v>
      </c>
    </row>
    <row r="79" customFormat="false" ht="53.7" hidden="false" customHeight="false" outlineLevel="0" collapsed="false">
      <c r="A79" s="2" t="n">
        <f aca="false">ROW()-1</f>
        <v>78</v>
      </c>
      <c r="B79" s="15" t="s">
        <v>275</v>
      </c>
      <c r="C79" s="2" t="s">
        <v>291</v>
      </c>
      <c r="D79" s="2" t="s">
        <v>39</v>
      </c>
      <c r="E79" s="4" t="s">
        <v>19</v>
      </c>
      <c r="F79" s="2" t="s">
        <v>20</v>
      </c>
      <c r="G79" s="4" t="s">
        <v>151</v>
      </c>
      <c r="H79" s="5" t="n">
        <v>100</v>
      </c>
      <c r="I79" s="5" t="n">
        <v>150</v>
      </c>
      <c r="J79" s="5" t="n">
        <f aca="false">(H79+I79)/2</f>
        <v>125</v>
      </c>
      <c r="K79" s="6" t="s">
        <v>22</v>
      </c>
      <c r="L79" s="4" t="s">
        <v>292</v>
      </c>
      <c r="M79" s="10" t="s">
        <v>50</v>
      </c>
      <c r="N79" s="4" t="s">
        <v>51</v>
      </c>
      <c r="O79" s="8" t="s">
        <v>26</v>
      </c>
      <c r="P79" s="9" t="s">
        <v>293</v>
      </c>
    </row>
    <row r="80" customFormat="false" ht="53.7" hidden="false" customHeight="false" outlineLevel="0" collapsed="false">
      <c r="A80" s="2" t="n">
        <f aca="false">ROW()-1</f>
        <v>79</v>
      </c>
      <c r="B80" s="15" t="s">
        <v>275</v>
      </c>
      <c r="C80" s="2" t="s">
        <v>294</v>
      </c>
      <c r="D80" s="2" t="s">
        <v>18</v>
      </c>
      <c r="E80" s="4" t="s">
        <v>117</v>
      </c>
      <c r="F80" s="2" t="s">
        <v>20</v>
      </c>
      <c r="G80" s="4" t="s">
        <v>151</v>
      </c>
      <c r="H80" s="5" t="n">
        <v>100</v>
      </c>
      <c r="I80" s="5" t="n">
        <v>150</v>
      </c>
      <c r="J80" s="5" t="n">
        <f aca="false">(H80+I80)/2</f>
        <v>125</v>
      </c>
      <c r="K80" s="6" t="s">
        <v>22</v>
      </c>
      <c r="L80" s="4" t="s">
        <v>295</v>
      </c>
      <c r="M80" s="10" t="s">
        <v>50</v>
      </c>
      <c r="N80" s="4" t="s">
        <v>51</v>
      </c>
      <c r="O80" s="8" t="s">
        <v>26</v>
      </c>
      <c r="P80" s="9" t="s">
        <v>296</v>
      </c>
    </row>
    <row r="81" customFormat="false" ht="53.7" hidden="false" customHeight="false" outlineLevel="0" collapsed="false">
      <c r="A81" s="2" t="n">
        <f aca="false">ROW()-1</f>
        <v>80</v>
      </c>
      <c r="B81" s="15" t="s">
        <v>275</v>
      </c>
      <c r="C81" s="2" t="s">
        <v>297</v>
      </c>
      <c r="D81" s="2" t="s">
        <v>39</v>
      </c>
      <c r="E81" s="4" t="s">
        <v>19</v>
      </c>
      <c r="F81" s="2" t="s">
        <v>20</v>
      </c>
      <c r="G81" s="4" t="s">
        <v>165</v>
      </c>
      <c r="H81" s="5" t="n">
        <v>95</v>
      </c>
      <c r="I81" s="5" t="n">
        <v>140</v>
      </c>
      <c r="J81" s="5" t="n">
        <f aca="false">(H81+I81)/2</f>
        <v>117.5</v>
      </c>
      <c r="K81" s="6" t="s">
        <v>22</v>
      </c>
      <c r="L81" s="4" t="s">
        <v>298</v>
      </c>
      <c r="M81" s="10" t="s">
        <v>50</v>
      </c>
      <c r="N81" s="4" t="s">
        <v>51</v>
      </c>
      <c r="O81" s="8" t="s">
        <v>26</v>
      </c>
      <c r="P81" s="9" t="s">
        <v>299</v>
      </c>
    </row>
    <row r="82" customFormat="false" ht="53.7" hidden="false" customHeight="false" outlineLevel="0" collapsed="false">
      <c r="A82" s="2" t="n">
        <f aca="false">ROW()-1</f>
        <v>81</v>
      </c>
      <c r="B82" s="15" t="s">
        <v>275</v>
      </c>
      <c r="C82" s="2" t="s">
        <v>300</v>
      </c>
      <c r="D82" s="2" t="s">
        <v>29</v>
      </c>
      <c r="E82" s="4" t="s">
        <v>117</v>
      </c>
      <c r="F82" s="2" t="s">
        <v>20</v>
      </c>
      <c r="G82" s="4" t="s">
        <v>301</v>
      </c>
      <c r="H82" s="5" t="n">
        <v>95</v>
      </c>
      <c r="I82" s="5" t="n">
        <v>135</v>
      </c>
      <c r="J82" s="5" t="n">
        <f aca="false">(H82+I82)/2</f>
        <v>115</v>
      </c>
      <c r="K82" s="6" t="s">
        <v>22</v>
      </c>
      <c r="L82" s="4" t="s">
        <v>302</v>
      </c>
      <c r="M82" s="10" t="s">
        <v>303</v>
      </c>
      <c r="N82" s="4" t="s">
        <v>51</v>
      </c>
      <c r="O82" s="8" t="s">
        <v>26</v>
      </c>
      <c r="P82" s="9" t="s">
        <v>304</v>
      </c>
    </row>
    <row r="83" customFormat="false" ht="53.7" hidden="false" customHeight="false" outlineLevel="0" collapsed="false">
      <c r="A83" s="2" t="n">
        <f aca="false">ROW()-1</f>
        <v>82</v>
      </c>
      <c r="B83" s="15" t="s">
        <v>275</v>
      </c>
      <c r="C83" s="2" t="s">
        <v>276</v>
      </c>
      <c r="D83" s="2" t="s">
        <v>29</v>
      </c>
      <c r="E83" s="4" t="s">
        <v>117</v>
      </c>
      <c r="F83" s="2" t="s">
        <v>20</v>
      </c>
      <c r="G83" s="4" t="s">
        <v>301</v>
      </c>
      <c r="H83" s="5" t="n">
        <v>95</v>
      </c>
      <c r="I83" s="5" t="n">
        <v>135</v>
      </c>
      <c r="J83" s="5" t="n">
        <f aca="false">(H83+I83)/2</f>
        <v>115</v>
      </c>
      <c r="K83" s="6" t="s">
        <v>22</v>
      </c>
      <c r="L83" s="4" t="s">
        <v>305</v>
      </c>
      <c r="M83" s="10" t="s">
        <v>280</v>
      </c>
      <c r="N83" s="4" t="s">
        <v>51</v>
      </c>
      <c r="O83" s="8" t="s">
        <v>26</v>
      </c>
      <c r="P83" s="9" t="s">
        <v>281</v>
      </c>
    </row>
    <row r="84" customFormat="false" ht="53.7" hidden="false" customHeight="false" outlineLevel="0" collapsed="false">
      <c r="A84" s="2" t="n">
        <f aca="false">ROW()-1</f>
        <v>83</v>
      </c>
      <c r="B84" s="15" t="s">
        <v>275</v>
      </c>
      <c r="C84" s="2" t="s">
        <v>306</v>
      </c>
      <c r="D84" s="2" t="s">
        <v>29</v>
      </c>
      <c r="E84" s="4" t="s">
        <v>117</v>
      </c>
      <c r="F84" s="2" t="s">
        <v>20</v>
      </c>
      <c r="G84" s="4" t="s">
        <v>301</v>
      </c>
      <c r="H84" s="5" t="n">
        <v>95</v>
      </c>
      <c r="I84" s="5" t="n">
        <v>135</v>
      </c>
      <c r="J84" s="5" t="n">
        <f aca="false">(H84+I84)/2</f>
        <v>115</v>
      </c>
      <c r="K84" s="6" t="s">
        <v>22</v>
      </c>
      <c r="L84" s="4" t="s">
        <v>305</v>
      </c>
      <c r="M84" s="10" t="s">
        <v>289</v>
      </c>
      <c r="N84" s="4" t="s">
        <v>51</v>
      </c>
      <c r="O84" s="8" t="s">
        <v>26</v>
      </c>
      <c r="P84" s="9" t="s">
        <v>307</v>
      </c>
    </row>
    <row r="85" customFormat="false" ht="53.7" hidden="false" customHeight="false" outlineLevel="0" collapsed="false">
      <c r="A85" s="2" t="n">
        <f aca="false">ROW()-1</f>
        <v>84</v>
      </c>
      <c r="B85" s="15" t="s">
        <v>275</v>
      </c>
      <c r="C85" s="2" t="s">
        <v>276</v>
      </c>
      <c r="D85" s="2" t="s">
        <v>159</v>
      </c>
      <c r="E85" s="4" t="s">
        <v>117</v>
      </c>
      <c r="F85" s="2" t="s">
        <v>20</v>
      </c>
      <c r="G85" s="4" t="s">
        <v>169</v>
      </c>
      <c r="H85" s="5" t="n">
        <v>90</v>
      </c>
      <c r="I85" s="5" t="n">
        <v>135</v>
      </c>
      <c r="J85" s="5" t="n">
        <f aca="false">(H85+I85)/2</f>
        <v>112.5</v>
      </c>
      <c r="K85" s="6" t="s">
        <v>162</v>
      </c>
      <c r="L85" s="4" t="s">
        <v>308</v>
      </c>
      <c r="M85" s="10" t="s">
        <v>280</v>
      </c>
      <c r="N85" s="4" t="s">
        <v>51</v>
      </c>
      <c r="O85" s="8" t="s">
        <v>26</v>
      </c>
      <c r="P85" s="9" t="s">
        <v>281</v>
      </c>
    </row>
    <row r="86" customFormat="false" ht="53.7" hidden="false" customHeight="false" outlineLevel="0" collapsed="false">
      <c r="A86" s="2" t="n">
        <f aca="false">ROW()-1</f>
        <v>85</v>
      </c>
      <c r="B86" s="15" t="s">
        <v>275</v>
      </c>
      <c r="C86" s="2" t="s">
        <v>300</v>
      </c>
      <c r="D86" s="2" t="s">
        <v>309</v>
      </c>
      <c r="E86" s="4" t="s">
        <v>117</v>
      </c>
      <c r="F86" s="2" t="s">
        <v>20</v>
      </c>
      <c r="G86" s="4" t="s">
        <v>310</v>
      </c>
      <c r="H86" s="5" t="n">
        <v>85</v>
      </c>
      <c r="I86" s="5" t="n">
        <v>135</v>
      </c>
      <c r="J86" s="5" t="n">
        <f aca="false">(H86+I86)/2</f>
        <v>110</v>
      </c>
      <c r="K86" s="6" t="s">
        <v>22</v>
      </c>
      <c r="L86" s="4" t="s">
        <v>311</v>
      </c>
      <c r="M86" s="10" t="s">
        <v>303</v>
      </c>
      <c r="N86" s="4" t="s">
        <v>51</v>
      </c>
      <c r="O86" s="8" t="s">
        <v>26</v>
      </c>
      <c r="P86" s="9" t="s">
        <v>304</v>
      </c>
    </row>
    <row r="87" customFormat="false" ht="53.7" hidden="false" customHeight="false" outlineLevel="0" collapsed="false">
      <c r="A87" s="2" t="n">
        <f aca="false">ROW()-1</f>
        <v>86</v>
      </c>
      <c r="B87" s="15" t="s">
        <v>275</v>
      </c>
      <c r="C87" s="2" t="s">
        <v>312</v>
      </c>
      <c r="D87" s="2" t="s">
        <v>39</v>
      </c>
      <c r="E87" s="4" t="s">
        <v>117</v>
      </c>
      <c r="F87" s="2" t="s">
        <v>20</v>
      </c>
      <c r="G87" s="4" t="s">
        <v>313</v>
      </c>
      <c r="H87" s="5" t="n">
        <v>90</v>
      </c>
      <c r="I87" s="5" t="n">
        <v>130</v>
      </c>
      <c r="J87" s="5" t="n">
        <f aca="false">(H87+I87)/2</f>
        <v>110</v>
      </c>
      <c r="K87" s="6" t="s">
        <v>22</v>
      </c>
      <c r="L87" s="4" t="s">
        <v>314</v>
      </c>
      <c r="M87" s="10" t="s">
        <v>50</v>
      </c>
      <c r="N87" s="4" t="s">
        <v>51</v>
      </c>
      <c r="O87" s="8" t="s">
        <v>26</v>
      </c>
      <c r="P87" s="9" t="s">
        <v>315</v>
      </c>
    </row>
    <row r="88" customFormat="false" ht="53.7" hidden="false" customHeight="false" outlineLevel="0" collapsed="false">
      <c r="A88" s="2" t="n">
        <f aca="false">ROW()-1</f>
        <v>87</v>
      </c>
      <c r="B88" s="15" t="s">
        <v>275</v>
      </c>
      <c r="C88" s="2" t="s">
        <v>316</v>
      </c>
      <c r="D88" s="2" t="s">
        <v>39</v>
      </c>
      <c r="E88" s="4" t="s">
        <v>317</v>
      </c>
      <c r="F88" s="2" t="s">
        <v>20</v>
      </c>
      <c r="G88" s="4" t="s">
        <v>318</v>
      </c>
      <c r="H88" s="5" t="n">
        <v>85</v>
      </c>
      <c r="I88" s="5" t="n">
        <v>125</v>
      </c>
      <c r="J88" s="5" t="n">
        <f aca="false">(H88+I88)/2</f>
        <v>105</v>
      </c>
      <c r="K88" s="6" t="s">
        <v>22</v>
      </c>
      <c r="L88" s="4" t="s">
        <v>319</v>
      </c>
      <c r="M88" s="10" t="s">
        <v>50</v>
      </c>
      <c r="N88" s="4" t="s">
        <v>51</v>
      </c>
      <c r="O88" s="8" t="s">
        <v>26</v>
      </c>
      <c r="P88" s="9" t="s">
        <v>320</v>
      </c>
    </row>
    <row r="89" customFormat="false" ht="53.7" hidden="false" customHeight="false" outlineLevel="0" collapsed="false">
      <c r="A89" s="2" t="n">
        <f aca="false">ROW()-1</f>
        <v>88</v>
      </c>
      <c r="B89" s="15" t="s">
        <v>275</v>
      </c>
      <c r="C89" s="2" t="s">
        <v>300</v>
      </c>
      <c r="D89" s="2" t="s">
        <v>159</v>
      </c>
      <c r="E89" s="4" t="s">
        <v>117</v>
      </c>
      <c r="F89" s="2" t="s">
        <v>20</v>
      </c>
      <c r="G89" s="4" t="s">
        <v>321</v>
      </c>
      <c r="H89" s="5" t="n">
        <v>80</v>
      </c>
      <c r="I89" s="5" t="n">
        <v>120</v>
      </c>
      <c r="J89" s="5" t="n">
        <f aca="false">(H89+I89)/2</f>
        <v>100</v>
      </c>
      <c r="K89" s="6" t="s">
        <v>162</v>
      </c>
      <c r="L89" s="4" t="s">
        <v>322</v>
      </c>
      <c r="M89" s="10" t="s">
        <v>303</v>
      </c>
      <c r="N89" s="4" t="s">
        <v>51</v>
      </c>
      <c r="O89" s="8" t="s">
        <v>26</v>
      </c>
      <c r="P89" s="9" t="s">
        <v>304</v>
      </c>
    </row>
    <row r="90" customFormat="false" ht="53.7" hidden="false" customHeight="false" outlineLevel="0" collapsed="false">
      <c r="A90" s="2" t="n">
        <f aca="false">ROW()-1</f>
        <v>89</v>
      </c>
      <c r="B90" s="15" t="s">
        <v>275</v>
      </c>
      <c r="C90" s="2" t="s">
        <v>323</v>
      </c>
      <c r="D90" s="2" t="s">
        <v>159</v>
      </c>
      <c r="E90" s="4" t="s">
        <v>117</v>
      </c>
      <c r="F90" s="2" t="s">
        <v>20</v>
      </c>
      <c r="G90" s="4" t="s">
        <v>321</v>
      </c>
      <c r="H90" s="5" t="n">
        <v>80</v>
      </c>
      <c r="I90" s="5" t="n">
        <v>120</v>
      </c>
      <c r="J90" s="5" t="n">
        <f aca="false">(H90+I90)/2</f>
        <v>100</v>
      </c>
      <c r="K90" s="6" t="s">
        <v>162</v>
      </c>
      <c r="L90" s="4" t="s">
        <v>324</v>
      </c>
      <c r="M90" s="4" t="s">
        <v>325</v>
      </c>
      <c r="N90" s="4" t="s">
        <v>51</v>
      </c>
      <c r="O90" s="8" t="s">
        <v>26</v>
      </c>
      <c r="P90" s="9" t="s">
        <v>326</v>
      </c>
    </row>
    <row r="91" customFormat="false" ht="32.8" hidden="false" customHeight="false" outlineLevel="0" collapsed="false">
      <c r="A91" s="2" t="n">
        <f aca="false">ROW()-1</f>
        <v>90</v>
      </c>
      <c r="B91" s="15" t="s">
        <v>275</v>
      </c>
      <c r="C91" s="2" t="s">
        <v>327</v>
      </c>
      <c r="D91" s="2" t="s">
        <v>29</v>
      </c>
      <c r="E91" s="4" t="s">
        <v>328</v>
      </c>
      <c r="F91" s="2" t="s">
        <v>31</v>
      </c>
      <c r="G91" s="4" t="s">
        <v>173</v>
      </c>
      <c r="H91" s="5" t="n">
        <v>80</v>
      </c>
      <c r="I91" s="5" t="n">
        <v>120</v>
      </c>
      <c r="J91" s="5" t="n">
        <f aca="false">(H91+I91)/2</f>
        <v>100</v>
      </c>
      <c r="K91" s="6" t="s">
        <v>22</v>
      </c>
      <c r="L91" s="4" t="s">
        <v>329</v>
      </c>
      <c r="M91" s="10" t="s">
        <v>330</v>
      </c>
      <c r="N91" s="4" t="s">
        <v>331</v>
      </c>
      <c r="O91" s="8" t="s">
        <v>26</v>
      </c>
      <c r="P91" s="9" t="s">
        <v>332</v>
      </c>
    </row>
    <row r="92" customFormat="false" ht="32.8" hidden="false" customHeight="false" outlineLevel="0" collapsed="false">
      <c r="A92" s="2" t="n">
        <f aca="false">ROW()-1</f>
        <v>91</v>
      </c>
      <c r="B92" s="15" t="s">
        <v>275</v>
      </c>
      <c r="C92" s="2" t="s">
        <v>327</v>
      </c>
      <c r="D92" s="2" t="s">
        <v>159</v>
      </c>
      <c r="E92" s="4" t="s">
        <v>328</v>
      </c>
      <c r="F92" s="2" t="s">
        <v>31</v>
      </c>
      <c r="G92" s="4" t="s">
        <v>333</v>
      </c>
      <c r="H92" s="5" t="n">
        <v>65</v>
      </c>
      <c r="I92" s="5" t="n">
        <v>110</v>
      </c>
      <c r="J92" s="5" t="n">
        <f aca="false">(H92+I92)/2</f>
        <v>87.5</v>
      </c>
      <c r="K92" s="6" t="s">
        <v>162</v>
      </c>
      <c r="L92" s="4" t="s">
        <v>334</v>
      </c>
      <c r="M92" s="10" t="s">
        <v>330</v>
      </c>
      <c r="N92" s="4" t="s">
        <v>331</v>
      </c>
      <c r="O92" s="8" t="s">
        <v>26</v>
      </c>
      <c r="P92" s="9" t="s">
        <v>332</v>
      </c>
    </row>
    <row r="93" customFormat="false" ht="53.7" hidden="false" customHeight="false" outlineLevel="0" collapsed="false">
      <c r="A93" s="2" t="n">
        <f aca="false">ROW()-1</f>
        <v>92</v>
      </c>
      <c r="B93" s="15" t="s">
        <v>275</v>
      </c>
      <c r="C93" s="2" t="s">
        <v>335</v>
      </c>
      <c r="D93" s="2" t="s">
        <v>53</v>
      </c>
      <c r="E93" s="4" t="s">
        <v>336</v>
      </c>
      <c r="F93" s="2" t="s">
        <v>20</v>
      </c>
      <c r="G93" s="4" t="s">
        <v>337</v>
      </c>
      <c r="H93" s="5" t="n">
        <v>150</v>
      </c>
      <c r="I93" s="5" t="n">
        <v>315</v>
      </c>
      <c r="J93" s="5" t="n">
        <f aca="false">(H93+I93)/2</f>
        <v>232.5</v>
      </c>
      <c r="K93" s="12" t="s">
        <v>55</v>
      </c>
      <c r="L93" s="4" t="s">
        <v>338</v>
      </c>
      <c r="M93" s="10" t="s">
        <v>50</v>
      </c>
      <c r="N93" s="4" t="s">
        <v>51</v>
      </c>
      <c r="O93" s="8" t="s">
        <v>26</v>
      </c>
      <c r="P93" s="9" t="s">
        <v>339</v>
      </c>
    </row>
    <row r="94" customFormat="false" ht="53.7" hidden="false" customHeight="false" outlineLevel="0" collapsed="false">
      <c r="A94" s="2" t="n">
        <f aca="false">ROW()-1</f>
        <v>93</v>
      </c>
      <c r="B94" s="15" t="s">
        <v>275</v>
      </c>
      <c r="C94" s="2" t="s">
        <v>300</v>
      </c>
      <c r="D94" s="2" t="s">
        <v>53</v>
      </c>
      <c r="E94" s="4" t="s">
        <v>117</v>
      </c>
      <c r="F94" s="2" t="s">
        <v>20</v>
      </c>
      <c r="G94" s="4" t="s">
        <v>195</v>
      </c>
      <c r="H94" s="5" t="n">
        <v>150</v>
      </c>
      <c r="I94" s="5" t="n">
        <v>230</v>
      </c>
      <c r="J94" s="5" t="n">
        <f aca="false">(H94+I94)/2</f>
        <v>190</v>
      </c>
      <c r="K94" s="12" t="s">
        <v>55</v>
      </c>
      <c r="L94" s="4" t="s">
        <v>340</v>
      </c>
      <c r="M94" s="10" t="s">
        <v>303</v>
      </c>
      <c r="N94" s="4" t="s">
        <v>51</v>
      </c>
      <c r="O94" s="8" t="s">
        <v>26</v>
      </c>
      <c r="P94" s="9" t="s">
        <v>304</v>
      </c>
    </row>
    <row r="95" customFormat="false" ht="53.7" hidden="false" customHeight="false" outlineLevel="0" collapsed="false">
      <c r="A95" s="2" t="n">
        <f aca="false">ROW()-1</f>
        <v>94</v>
      </c>
      <c r="B95" s="15" t="s">
        <v>275</v>
      </c>
      <c r="C95" s="2" t="s">
        <v>276</v>
      </c>
      <c r="D95" s="2" t="s">
        <v>53</v>
      </c>
      <c r="E95" s="4" t="s">
        <v>341</v>
      </c>
      <c r="F95" s="2" t="s">
        <v>20</v>
      </c>
      <c r="G95" s="4" t="s">
        <v>195</v>
      </c>
      <c r="H95" s="5" t="n">
        <v>150</v>
      </c>
      <c r="I95" s="5" t="n">
        <v>230</v>
      </c>
      <c r="J95" s="5" t="n">
        <f aca="false">(H95+I95)/2</f>
        <v>190</v>
      </c>
      <c r="K95" s="12" t="s">
        <v>55</v>
      </c>
      <c r="L95" s="4" t="s">
        <v>342</v>
      </c>
      <c r="M95" s="10" t="s">
        <v>280</v>
      </c>
      <c r="N95" s="4" t="s">
        <v>51</v>
      </c>
      <c r="O95" s="8" t="s">
        <v>26</v>
      </c>
      <c r="P95" s="9" t="s">
        <v>281</v>
      </c>
    </row>
    <row r="96" customFormat="false" ht="53.7" hidden="false" customHeight="false" outlineLevel="0" collapsed="false">
      <c r="A96" s="2" t="n">
        <f aca="false">ROW()-1</f>
        <v>95</v>
      </c>
      <c r="B96" s="15" t="s">
        <v>275</v>
      </c>
      <c r="C96" s="2" t="s">
        <v>343</v>
      </c>
      <c r="D96" s="2" t="s">
        <v>53</v>
      </c>
      <c r="E96" s="4" t="s">
        <v>117</v>
      </c>
      <c r="F96" s="2" t="s">
        <v>20</v>
      </c>
      <c r="G96" s="4" t="s">
        <v>197</v>
      </c>
      <c r="H96" s="5" t="n">
        <v>140</v>
      </c>
      <c r="I96" s="5" t="n">
        <v>215</v>
      </c>
      <c r="J96" s="5" t="n">
        <f aca="false">(H96+I96)/2</f>
        <v>177.5</v>
      </c>
      <c r="K96" s="12" t="s">
        <v>55</v>
      </c>
      <c r="L96" s="4" t="s">
        <v>344</v>
      </c>
      <c r="M96" s="10" t="s">
        <v>50</v>
      </c>
      <c r="N96" s="4" t="s">
        <v>51</v>
      </c>
      <c r="O96" s="8" t="s">
        <v>26</v>
      </c>
      <c r="P96" s="9" t="s">
        <v>345</v>
      </c>
    </row>
    <row r="97" customFormat="false" ht="53.7" hidden="false" customHeight="false" outlineLevel="0" collapsed="false">
      <c r="A97" s="2" t="n">
        <f aca="false">ROW()-1</f>
        <v>96</v>
      </c>
      <c r="B97" s="15" t="s">
        <v>275</v>
      </c>
      <c r="C97" s="2" t="s">
        <v>346</v>
      </c>
      <c r="D97" s="2" t="s">
        <v>53</v>
      </c>
      <c r="E97" s="4" t="s">
        <v>117</v>
      </c>
      <c r="F97" s="2" t="s">
        <v>20</v>
      </c>
      <c r="G97" s="4" t="s">
        <v>197</v>
      </c>
      <c r="H97" s="5" t="n">
        <v>140</v>
      </c>
      <c r="I97" s="5" t="n">
        <v>215</v>
      </c>
      <c r="J97" s="5" t="n">
        <f aca="false">(H97+I97)/2</f>
        <v>177.5</v>
      </c>
      <c r="K97" s="12" t="s">
        <v>55</v>
      </c>
      <c r="L97" s="4" t="s">
        <v>347</v>
      </c>
      <c r="M97" s="4" t="s">
        <v>348</v>
      </c>
      <c r="N97" s="4" t="s">
        <v>51</v>
      </c>
      <c r="O97" s="8" t="s">
        <v>26</v>
      </c>
      <c r="P97" s="9" t="s">
        <v>349</v>
      </c>
    </row>
    <row r="98" customFormat="false" ht="53.7" hidden="false" customHeight="false" outlineLevel="0" collapsed="false">
      <c r="A98" s="2" t="n">
        <f aca="false">ROW()-1</f>
        <v>97</v>
      </c>
      <c r="B98" s="15" t="s">
        <v>275</v>
      </c>
      <c r="C98" s="2" t="s">
        <v>306</v>
      </c>
      <c r="D98" s="2" t="s">
        <v>53</v>
      </c>
      <c r="E98" s="4" t="s">
        <v>117</v>
      </c>
      <c r="F98" s="2" t="s">
        <v>20</v>
      </c>
      <c r="G98" s="4" t="s">
        <v>197</v>
      </c>
      <c r="H98" s="5" t="n">
        <v>140</v>
      </c>
      <c r="I98" s="5" t="n">
        <v>215</v>
      </c>
      <c r="J98" s="5" t="n">
        <f aca="false">(H98+I98)/2</f>
        <v>177.5</v>
      </c>
      <c r="K98" s="12" t="s">
        <v>55</v>
      </c>
      <c r="L98" s="4" t="s">
        <v>350</v>
      </c>
      <c r="M98" s="10" t="s">
        <v>289</v>
      </c>
      <c r="N98" s="4" t="s">
        <v>51</v>
      </c>
      <c r="O98" s="8" t="s">
        <v>26</v>
      </c>
      <c r="P98" s="9" t="s">
        <v>307</v>
      </c>
    </row>
    <row r="99" customFormat="false" ht="53.7" hidden="false" customHeight="false" outlineLevel="0" collapsed="false">
      <c r="A99" s="2" t="n">
        <f aca="false">ROW()-1</f>
        <v>98</v>
      </c>
      <c r="B99" s="15" t="s">
        <v>275</v>
      </c>
      <c r="C99" s="2" t="s">
        <v>351</v>
      </c>
      <c r="D99" s="2" t="s">
        <v>53</v>
      </c>
      <c r="E99" s="4" t="s">
        <v>30</v>
      </c>
      <c r="F99" s="2" t="s">
        <v>31</v>
      </c>
      <c r="G99" s="4" t="s">
        <v>352</v>
      </c>
      <c r="H99" s="5" t="n">
        <v>125</v>
      </c>
      <c r="I99" s="5" t="n">
        <v>200</v>
      </c>
      <c r="J99" s="5" t="n">
        <f aca="false">(H99+I99)/2</f>
        <v>162.5</v>
      </c>
      <c r="K99" s="12" t="s">
        <v>55</v>
      </c>
      <c r="L99" s="4" t="s">
        <v>353</v>
      </c>
      <c r="M99" s="10" t="s">
        <v>34</v>
      </c>
      <c r="N99" s="4" t="s">
        <v>138</v>
      </c>
      <c r="O99" s="8" t="s">
        <v>26</v>
      </c>
      <c r="P99" s="9" t="s">
        <v>354</v>
      </c>
    </row>
    <row r="100" customFormat="false" ht="53.7" hidden="false" customHeight="false" outlineLevel="0" collapsed="false">
      <c r="A100" s="2" t="n">
        <f aca="false">ROW()-1</f>
        <v>99</v>
      </c>
      <c r="B100" s="15" t="s">
        <v>275</v>
      </c>
      <c r="C100" s="2" t="s">
        <v>355</v>
      </c>
      <c r="D100" s="2" t="s">
        <v>53</v>
      </c>
      <c r="E100" s="4" t="s">
        <v>356</v>
      </c>
      <c r="F100" s="2" t="s">
        <v>20</v>
      </c>
      <c r="G100" s="4" t="s">
        <v>357</v>
      </c>
      <c r="H100" s="5" t="n">
        <v>115</v>
      </c>
      <c r="I100" s="5" t="n">
        <v>175</v>
      </c>
      <c r="J100" s="5" t="n">
        <f aca="false">(H100+I100)/2</f>
        <v>145</v>
      </c>
      <c r="K100" s="12" t="s">
        <v>55</v>
      </c>
      <c r="L100" s="4" t="s">
        <v>358</v>
      </c>
      <c r="M100" s="10" t="s">
        <v>50</v>
      </c>
      <c r="N100" s="4" t="s">
        <v>51</v>
      </c>
      <c r="O100" s="8" t="s">
        <v>26</v>
      </c>
      <c r="P100" s="9" t="s">
        <v>359</v>
      </c>
    </row>
    <row r="101" customFormat="false" ht="53.7" hidden="false" customHeight="false" outlineLevel="0" collapsed="false">
      <c r="A101" s="2" t="n">
        <f aca="false">ROW()-1</f>
        <v>100</v>
      </c>
      <c r="B101" s="15" t="s">
        <v>275</v>
      </c>
      <c r="C101" s="2" t="s">
        <v>294</v>
      </c>
      <c r="D101" s="2" t="s">
        <v>75</v>
      </c>
      <c r="E101" s="4" t="s">
        <v>117</v>
      </c>
      <c r="F101" s="2" t="s">
        <v>20</v>
      </c>
      <c r="G101" s="4" t="s">
        <v>360</v>
      </c>
      <c r="H101" s="5" t="n">
        <v>165</v>
      </c>
      <c r="I101" s="5" t="n">
        <v>245</v>
      </c>
      <c r="J101" s="5" t="n">
        <f aca="false">(H101+I101)/2</f>
        <v>205</v>
      </c>
      <c r="K101" s="4" t="s">
        <v>77</v>
      </c>
      <c r="L101" s="4" t="s">
        <v>214</v>
      </c>
      <c r="M101" s="10" t="s">
        <v>50</v>
      </c>
      <c r="N101" s="4" t="s">
        <v>51</v>
      </c>
      <c r="O101" s="8" t="s">
        <v>26</v>
      </c>
      <c r="P101" s="9" t="s">
        <v>296</v>
      </c>
    </row>
    <row r="102" customFormat="false" ht="53.7" hidden="false" customHeight="false" outlineLevel="0" collapsed="false">
      <c r="A102" s="2" t="n">
        <f aca="false">ROW()-1</f>
        <v>101</v>
      </c>
      <c r="B102" s="15" t="s">
        <v>275</v>
      </c>
      <c r="C102" s="2" t="s">
        <v>361</v>
      </c>
      <c r="D102" s="2" t="s">
        <v>75</v>
      </c>
      <c r="E102" s="4" t="s">
        <v>317</v>
      </c>
      <c r="F102" s="2" t="s">
        <v>20</v>
      </c>
      <c r="G102" s="4" t="s">
        <v>362</v>
      </c>
      <c r="H102" s="5" t="n">
        <v>155</v>
      </c>
      <c r="I102" s="5" t="n">
        <v>255</v>
      </c>
      <c r="J102" s="5" t="n">
        <f aca="false">(H102+I102)/2</f>
        <v>205</v>
      </c>
      <c r="K102" s="4" t="s">
        <v>77</v>
      </c>
      <c r="L102" s="4" t="s">
        <v>363</v>
      </c>
      <c r="M102" s="10" t="s">
        <v>50</v>
      </c>
      <c r="N102" s="4" t="s">
        <v>51</v>
      </c>
      <c r="O102" s="8" t="s">
        <v>26</v>
      </c>
      <c r="P102" s="9" t="s">
        <v>364</v>
      </c>
    </row>
    <row r="103" customFormat="false" ht="53.7" hidden="false" customHeight="false" outlineLevel="0" collapsed="false">
      <c r="A103" s="2" t="n">
        <f aca="false">ROW()-1</f>
        <v>102</v>
      </c>
      <c r="B103" s="15" t="s">
        <v>275</v>
      </c>
      <c r="C103" s="2" t="s">
        <v>343</v>
      </c>
      <c r="D103" s="2" t="s">
        <v>75</v>
      </c>
      <c r="E103" s="4" t="s">
        <v>117</v>
      </c>
      <c r="F103" s="2" t="s">
        <v>20</v>
      </c>
      <c r="G103" s="4" t="s">
        <v>365</v>
      </c>
      <c r="H103" s="5" t="n">
        <v>155</v>
      </c>
      <c r="I103" s="5" t="n">
        <v>220</v>
      </c>
      <c r="J103" s="5" t="n">
        <f aca="false">(H103+I103)/2</f>
        <v>187.5</v>
      </c>
      <c r="K103" s="4" t="s">
        <v>77</v>
      </c>
      <c r="L103" s="4" t="s">
        <v>219</v>
      </c>
      <c r="M103" s="10" t="s">
        <v>50</v>
      </c>
      <c r="N103" s="4" t="s">
        <v>51</v>
      </c>
      <c r="O103" s="8" t="s">
        <v>26</v>
      </c>
      <c r="P103" s="9" t="s">
        <v>345</v>
      </c>
    </row>
    <row r="104" customFormat="false" ht="53.7" hidden="false" customHeight="false" outlineLevel="0" collapsed="false">
      <c r="A104" s="2" t="n">
        <f aca="false">ROW()-1</f>
        <v>103</v>
      </c>
      <c r="B104" s="15" t="s">
        <v>275</v>
      </c>
      <c r="C104" s="2" t="s">
        <v>366</v>
      </c>
      <c r="D104" s="2" t="s">
        <v>80</v>
      </c>
      <c r="E104" s="4" t="s">
        <v>30</v>
      </c>
      <c r="F104" s="2" t="s">
        <v>31</v>
      </c>
      <c r="G104" s="4" t="s">
        <v>367</v>
      </c>
      <c r="H104" s="5" t="n">
        <v>135</v>
      </c>
      <c r="I104" s="5" t="n">
        <v>210</v>
      </c>
      <c r="J104" s="5" t="n">
        <f aca="false">(H104+I104)/2</f>
        <v>172.5</v>
      </c>
      <c r="K104" s="4" t="s">
        <v>77</v>
      </c>
      <c r="L104" s="4" t="s">
        <v>368</v>
      </c>
      <c r="M104" s="10" t="s">
        <v>34</v>
      </c>
      <c r="N104" s="4" t="s">
        <v>138</v>
      </c>
      <c r="O104" s="8" t="s">
        <v>26</v>
      </c>
      <c r="P104" s="9" t="s">
        <v>369</v>
      </c>
    </row>
    <row r="105" customFormat="false" ht="53.7" hidden="false" customHeight="false" outlineLevel="0" collapsed="false">
      <c r="A105" s="2" t="n">
        <f aca="false">ROW()-1</f>
        <v>104</v>
      </c>
      <c r="B105" s="15" t="s">
        <v>275</v>
      </c>
      <c r="C105" s="2" t="s">
        <v>370</v>
      </c>
      <c r="D105" s="2" t="s">
        <v>80</v>
      </c>
      <c r="E105" s="4" t="s">
        <v>117</v>
      </c>
      <c r="F105" s="2" t="s">
        <v>20</v>
      </c>
      <c r="G105" s="4" t="s">
        <v>371</v>
      </c>
      <c r="H105" s="5" t="n">
        <v>120</v>
      </c>
      <c r="I105" s="5" t="n">
        <v>180</v>
      </c>
      <c r="J105" s="5" t="n">
        <f aca="false">(H105+I105)/2</f>
        <v>150</v>
      </c>
      <c r="K105" s="4" t="s">
        <v>77</v>
      </c>
      <c r="L105" s="4" t="s">
        <v>372</v>
      </c>
      <c r="M105" s="10" t="s">
        <v>50</v>
      </c>
      <c r="N105" s="4" t="s">
        <v>51</v>
      </c>
      <c r="O105" s="8" t="s">
        <v>26</v>
      </c>
      <c r="P105" s="9" t="s">
        <v>373</v>
      </c>
    </row>
    <row r="106" customFormat="false" ht="53.7" hidden="false" customHeight="false" outlineLevel="0" collapsed="false">
      <c r="A106" s="2" t="n">
        <f aca="false">ROW()-1</f>
        <v>105</v>
      </c>
      <c r="B106" s="15" t="s">
        <v>275</v>
      </c>
      <c r="C106" s="2" t="s">
        <v>129</v>
      </c>
      <c r="D106" s="2" t="s">
        <v>222</v>
      </c>
      <c r="E106" s="4" t="s">
        <v>117</v>
      </c>
      <c r="F106" s="2" t="s">
        <v>20</v>
      </c>
      <c r="G106" s="4" t="s">
        <v>374</v>
      </c>
      <c r="H106" s="5" t="n">
        <v>115</v>
      </c>
      <c r="I106" s="5" t="n">
        <v>170</v>
      </c>
      <c r="J106" s="5" t="n">
        <f aca="false">(H106+I106)/2</f>
        <v>142.5</v>
      </c>
      <c r="K106" s="4" t="s">
        <v>77</v>
      </c>
      <c r="L106" s="4" t="s">
        <v>375</v>
      </c>
      <c r="M106" s="10" t="s">
        <v>133</v>
      </c>
      <c r="N106" s="4" t="s">
        <v>51</v>
      </c>
      <c r="O106" s="8" t="s">
        <v>26</v>
      </c>
      <c r="P106" s="9" t="s">
        <v>134</v>
      </c>
    </row>
    <row r="107" customFormat="false" ht="53.7" hidden="false" customHeight="false" outlineLevel="0" collapsed="false">
      <c r="A107" s="2" t="n">
        <f aca="false">ROW()-1</f>
        <v>106</v>
      </c>
      <c r="B107" s="15" t="s">
        <v>275</v>
      </c>
      <c r="C107" s="2" t="s">
        <v>376</v>
      </c>
      <c r="D107" s="2" t="s">
        <v>75</v>
      </c>
      <c r="E107" s="4" t="s">
        <v>226</v>
      </c>
      <c r="F107" s="2" t="s">
        <v>31</v>
      </c>
      <c r="G107" s="4" t="s">
        <v>377</v>
      </c>
      <c r="H107" s="5" t="n">
        <v>130</v>
      </c>
      <c r="I107" s="5" t="n">
        <v>230</v>
      </c>
      <c r="J107" s="5" t="n">
        <f aca="false">(H107+I107)/2</f>
        <v>180</v>
      </c>
      <c r="K107" s="4" t="s">
        <v>228</v>
      </c>
      <c r="L107" s="4" t="s">
        <v>378</v>
      </c>
      <c r="M107" s="10" t="s">
        <v>34</v>
      </c>
      <c r="N107" s="4" t="s">
        <v>138</v>
      </c>
      <c r="O107" s="8" t="s">
        <v>26</v>
      </c>
      <c r="P107" s="9" t="s">
        <v>379</v>
      </c>
    </row>
    <row r="108" customFormat="false" ht="53.7" hidden="false" customHeight="false" outlineLevel="0" collapsed="false">
      <c r="A108" s="2" t="n">
        <f aca="false">ROW()-1</f>
        <v>107</v>
      </c>
      <c r="B108" s="15" t="s">
        <v>275</v>
      </c>
      <c r="C108" s="2" t="s">
        <v>380</v>
      </c>
      <c r="D108" s="2" t="s">
        <v>91</v>
      </c>
      <c r="E108" s="4" t="s">
        <v>381</v>
      </c>
      <c r="F108" s="2" t="s">
        <v>20</v>
      </c>
      <c r="G108" s="4" t="s">
        <v>263</v>
      </c>
      <c r="H108" s="5" t="n">
        <v>300</v>
      </c>
      <c r="I108" s="5" t="n">
        <v>420</v>
      </c>
      <c r="J108" s="5" t="n">
        <f aca="false">(H108+I108)/2</f>
        <v>360</v>
      </c>
      <c r="K108" s="13" t="s">
        <v>93</v>
      </c>
      <c r="L108" s="4" t="s">
        <v>382</v>
      </c>
      <c r="M108" s="10" t="s">
        <v>50</v>
      </c>
      <c r="N108" s="4" t="s">
        <v>51</v>
      </c>
      <c r="O108" s="8" t="s">
        <v>26</v>
      </c>
      <c r="P108" s="9" t="s">
        <v>383</v>
      </c>
    </row>
    <row r="109" customFormat="false" ht="53.7" hidden="false" customHeight="false" outlineLevel="0" collapsed="false">
      <c r="A109" s="2" t="n">
        <f aca="false">ROW()-1</f>
        <v>108</v>
      </c>
      <c r="B109" s="15" t="s">
        <v>275</v>
      </c>
      <c r="C109" s="2" t="s">
        <v>384</v>
      </c>
      <c r="D109" s="2" t="s">
        <v>95</v>
      </c>
      <c r="E109" s="4" t="s">
        <v>385</v>
      </c>
      <c r="F109" s="2" t="s">
        <v>58</v>
      </c>
      <c r="G109" s="4" t="s">
        <v>269</v>
      </c>
      <c r="H109" s="5" t="n">
        <v>300</v>
      </c>
      <c r="I109" s="5" t="n">
        <v>400</v>
      </c>
      <c r="J109" s="5" t="n">
        <f aca="false">(H109+I109)/2</f>
        <v>350</v>
      </c>
      <c r="K109" s="13" t="s">
        <v>93</v>
      </c>
      <c r="L109" s="4" t="s">
        <v>386</v>
      </c>
      <c r="M109" s="10" t="s">
        <v>61</v>
      </c>
      <c r="N109" s="4" t="s">
        <v>88</v>
      </c>
      <c r="O109" s="8" t="s">
        <v>26</v>
      </c>
      <c r="P109" s="9" t="s">
        <v>387</v>
      </c>
    </row>
    <row r="110" customFormat="false" ht="53.7" hidden="false" customHeight="false" outlineLevel="0" collapsed="false">
      <c r="A110" s="2" t="n">
        <f aca="false">ROW()-1</f>
        <v>109</v>
      </c>
      <c r="B110" s="15" t="s">
        <v>275</v>
      </c>
      <c r="C110" s="2" t="s">
        <v>291</v>
      </c>
      <c r="D110" s="2" t="s">
        <v>95</v>
      </c>
      <c r="E110" s="4" t="s">
        <v>19</v>
      </c>
      <c r="F110" s="2" t="s">
        <v>20</v>
      </c>
      <c r="G110" s="4" t="s">
        <v>269</v>
      </c>
      <c r="H110" s="5" t="n">
        <v>300</v>
      </c>
      <c r="I110" s="5" t="n">
        <v>400</v>
      </c>
      <c r="J110" s="5" t="n">
        <f aca="false">(H110+I110)/2</f>
        <v>350</v>
      </c>
      <c r="K110" s="13" t="s">
        <v>93</v>
      </c>
      <c r="L110" s="4" t="s">
        <v>256</v>
      </c>
      <c r="M110" s="10" t="s">
        <v>50</v>
      </c>
      <c r="N110" s="4" t="s">
        <v>51</v>
      </c>
      <c r="O110" s="8" t="s">
        <v>26</v>
      </c>
      <c r="P110" s="9" t="s">
        <v>293</v>
      </c>
    </row>
    <row r="111" customFormat="false" ht="53.7" hidden="false" customHeight="false" outlineLevel="0" collapsed="false">
      <c r="A111" s="2" t="n">
        <f aca="false">ROW()-1</f>
        <v>110</v>
      </c>
      <c r="B111" s="15" t="s">
        <v>275</v>
      </c>
      <c r="C111" s="2" t="s">
        <v>294</v>
      </c>
      <c r="D111" s="2" t="s">
        <v>388</v>
      </c>
      <c r="E111" s="4" t="s">
        <v>117</v>
      </c>
      <c r="F111" s="2" t="s">
        <v>20</v>
      </c>
      <c r="G111" s="4" t="s">
        <v>269</v>
      </c>
      <c r="H111" s="5" t="n">
        <v>300</v>
      </c>
      <c r="I111" s="5" t="n">
        <v>400</v>
      </c>
      <c r="J111" s="5" t="n">
        <f aca="false">(H111+I111)/2</f>
        <v>350</v>
      </c>
      <c r="K111" s="13" t="s">
        <v>93</v>
      </c>
      <c r="L111" s="4" t="s">
        <v>389</v>
      </c>
      <c r="M111" s="10" t="s">
        <v>50</v>
      </c>
      <c r="N111" s="4" t="s">
        <v>51</v>
      </c>
      <c r="O111" s="8" t="s">
        <v>26</v>
      </c>
      <c r="P111" s="9" t="s">
        <v>296</v>
      </c>
    </row>
    <row r="112" customFormat="false" ht="53.7" hidden="false" customHeight="false" outlineLevel="0" collapsed="false">
      <c r="A112" s="2" t="n">
        <f aca="false">ROW()-1</f>
        <v>111</v>
      </c>
      <c r="B112" s="15" t="s">
        <v>275</v>
      </c>
      <c r="C112" s="2" t="s">
        <v>390</v>
      </c>
      <c r="D112" s="2" t="s">
        <v>91</v>
      </c>
      <c r="E112" s="4" t="s">
        <v>30</v>
      </c>
      <c r="F112" s="2" t="s">
        <v>31</v>
      </c>
      <c r="G112" s="4" t="s">
        <v>391</v>
      </c>
      <c r="H112" s="5" t="n">
        <v>280</v>
      </c>
      <c r="I112" s="5" t="n">
        <v>400</v>
      </c>
      <c r="J112" s="5" t="n">
        <f aca="false">(H112+I112)/2</f>
        <v>340</v>
      </c>
      <c r="K112" s="13" t="s">
        <v>93</v>
      </c>
      <c r="L112" s="4" t="s">
        <v>392</v>
      </c>
      <c r="M112" s="10" t="s">
        <v>34</v>
      </c>
      <c r="N112" s="4" t="s">
        <v>138</v>
      </c>
      <c r="O112" s="8" t="s">
        <v>26</v>
      </c>
      <c r="P112" s="9" t="s">
        <v>393</v>
      </c>
    </row>
    <row r="113" customFormat="false" ht="53.7" hidden="false" customHeight="false" outlineLevel="0" collapsed="false">
      <c r="A113" s="2" t="n">
        <f aca="false">ROW()-1</f>
        <v>112</v>
      </c>
      <c r="B113" s="15" t="s">
        <v>275</v>
      </c>
      <c r="C113" s="2" t="s">
        <v>394</v>
      </c>
      <c r="D113" s="2" t="s">
        <v>395</v>
      </c>
      <c r="E113" s="4" t="s">
        <v>201</v>
      </c>
      <c r="F113" s="2" t="s">
        <v>31</v>
      </c>
      <c r="G113" s="4" t="s">
        <v>396</v>
      </c>
      <c r="H113" s="5" t="n">
        <v>280</v>
      </c>
      <c r="I113" s="5" t="n">
        <v>380</v>
      </c>
      <c r="J113" s="5" t="n">
        <f aca="false">(H113+I113)/2</f>
        <v>330</v>
      </c>
      <c r="K113" s="13" t="s">
        <v>93</v>
      </c>
      <c r="L113" s="4" t="s">
        <v>397</v>
      </c>
      <c r="M113" s="10" t="s">
        <v>34</v>
      </c>
      <c r="N113" s="4" t="s">
        <v>138</v>
      </c>
      <c r="O113" s="8" t="s">
        <v>26</v>
      </c>
      <c r="P113" s="9" t="s">
        <v>398</v>
      </c>
    </row>
    <row r="114" customFormat="false" ht="53.7" hidden="false" customHeight="false" outlineLevel="0" collapsed="false">
      <c r="A114" s="2" t="n">
        <f aca="false">ROW()-1</f>
        <v>113</v>
      </c>
      <c r="B114" s="15" t="s">
        <v>275</v>
      </c>
      <c r="C114" s="2" t="s">
        <v>297</v>
      </c>
      <c r="D114" s="2" t="s">
        <v>95</v>
      </c>
      <c r="E114" s="4" t="s">
        <v>19</v>
      </c>
      <c r="F114" s="2" t="s">
        <v>20</v>
      </c>
      <c r="G114" s="4" t="s">
        <v>396</v>
      </c>
      <c r="H114" s="5" t="n">
        <v>280</v>
      </c>
      <c r="I114" s="5" t="n">
        <v>380</v>
      </c>
      <c r="J114" s="5" t="n">
        <f aca="false">(H114+I114)/2</f>
        <v>330</v>
      </c>
      <c r="K114" s="13" t="s">
        <v>93</v>
      </c>
      <c r="L114" s="4" t="s">
        <v>256</v>
      </c>
      <c r="M114" s="10" t="s">
        <v>50</v>
      </c>
      <c r="N114" s="4" t="s">
        <v>51</v>
      </c>
      <c r="O114" s="8" t="s">
        <v>26</v>
      </c>
      <c r="P114" s="9" t="s">
        <v>299</v>
      </c>
    </row>
    <row r="115" customFormat="false" ht="53.7" hidden="false" customHeight="false" outlineLevel="0" collapsed="false">
      <c r="A115" s="2" t="n">
        <f aca="false">ROW()-1</f>
        <v>114</v>
      </c>
      <c r="B115" s="15" t="s">
        <v>275</v>
      </c>
      <c r="C115" s="2" t="s">
        <v>399</v>
      </c>
      <c r="D115" s="2" t="s">
        <v>95</v>
      </c>
      <c r="E115" s="4" t="s">
        <v>317</v>
      </c>
      <c r="F115" s="2" t="s">
        <v>20</v>
      </c>
      <c r="G115" s="4" t="s">
        <v>400</v>
      </c>
      <c r="H115" s="5" t="n">
        <v>280</v>
      </c>
      <c r="I115" s="5" t="n">
        <v>370</v>
      </c>
      <c r="J115" s="5" t="n">
        <f aca="false">(H115+I115)/2</f>
        <v>325</v>
      </c>
      <c r="K115" s="13" t="s">
        <v>93</v>
      </c>
      <c r="L115" s="4" t="s">
        <v>401</v>
      </c>
      <c r="M115" s="10" t="s">
        <v>50</v>
      </c>
      <c r="N115" s="4" t="s">
        <v>51</v>
      </c>
      <c r="O115" s="8" t="s">
        <v>26</v>
      </c>
      <c r="P115" s="9" t="s">
        <v>402</v>
      </c>
    </row>
    <row r="116" customFormat="false" ht="53.7" hidden="false" customHeight="false" outlineLevel="0" collapsed="false">
      <c r="A116" s="2" t="n">
        <f aca="false">ROW()-1</f>
        <v>115</v>
      </c>
      <c r="B116" s="15" t="s">
        <v>275</v>
      </c>
      <c r="C116" s="2" t="s">
        <v>300</v>
      </c>
      <c r="D116" s="2" t="s">
        <v>91</v>
      </c>
      <c r="E116" s="4" t="s">
        <v>117</v>
      </c>
      <c r="F116" s="2" t="s">
        <v>20</v>
      </c>
      <c r="G116" s="4" t="s">
        <v>272</v>
      </c>
      <c r="H116" s="5" t="n">
        <v>250</v>
      </c>
      <c r="I116" s="5" t="n">
        <v>350</v>
      </c>
      <c r="J116" s="5" t="n">
        <f aca="false">(H116+I116)/2</f>
        <v>300</v>
      </c>
      <c r="K116" s="13" t="s">
        <v>93</v>
      </c>
      <c r="L116" s="4" t="s">
        <v>403</v>
      </c>
      <c r="M116" s="10" t="s">
        <v>303</v>
      </c>
      <c r="N116" s="4" t="s">
        <v>51</v>
      </c>
      <c r="O116" s="8" t="s">
        <v>26</v>
      </c>
      <c r="P116" s="9" t="s">
        <v>304</v>
      </c>
    </row>
    <row r="117" customFormat="false" ht="53.7" hidden="false" customHeight="false" outlineLevel="0" collapsed="false">
      <c r="A117" s="2" t="n">
        <f aca="false">ROW()-1</f>
        <v>116</v>
      </c>
      <c r="B117" s="15" t="s">
        <v>275</v>
      </c>
      <c r="C117" s="2" t="s">
        <v>276</v>
      </c>
      <c r="D117" s="2" t="s">
        <v>91</v>
      </c>
      <c r="E117" s="4" t="s">
        <v>341</v>
      </c>
      <c r="F117" s="2" t="s">
        <v>20</v>
      </c>
      <c r="G117" s="4" t="s">
        <v>272</v>
      </c>
      <c r="H117" s="5" t="n">
        <v>250</v>
      </c>
      <c r="I117" s="5" t="n">
        <v>350</v>
      </c>
      <c r="J117" s="5" t="n">
        <f aca="false">(H117+I117)/2</f>
        <v>300</v>
      </c>
      <c r="K117" s="13" t="s">
        <v>93</v>
      </c>
      <c r="L117" s="4" t="s">
        <v>404</v>
      </c>
      <c r="M117" s="10" t="s">
        <v>280</v>
      </c>
      <c r="N117" s="4" t="s">
        <v>51</v>
      </c>
      <c r="O117" s="8" t="s">
        <v>26</v>
      </c>
      <c r="P117" s="9" t="s">
        <v>281</v>
      </c>
    </row>
    <row r="118" customFormat="false" ht="53.7" hidden="false" customHeight="false" outlineLevel="0" collapsed="false">
      <c r="A118" s="2" t="n">
        <f aca="false">ROW()-1</f>
        <v>117</v>
      </c>
      <c r="B118" s="16" t="s">
        <v>405</v>
      </c>
      <c r="C118" s="2" t="s">
        <v>406</v>
      </c>
      <c r="D118" s="2" t="s">
        <v>130</v>
      </c>
      <c r="E118" s="4" t="s">
        <v>407</v>
      </c>
      <c r="F118" s="2" t="s">
        <v>20</v>
      </c>
      <c r="G118" s="4" t="s">
        <v>131</v>
      </c>
      <c r="H118" s="5" t="n">
        <v>145</v>
      </c>
      <c r="I118" s="5" t="n">
        <v>215</v>
      </c>
      <c r="J118" s="5" t="n">
        <f aca="false">(H118+I118)/2</f>
        <v>180</v>
      </c>
      <c r="K118" s="6" t="s">
        <v>119</v>
      </c>
      <c r="L118" s="4" t="s">
        <v>408</v>
      </c>
      <c r="M118" s="10" t="s">
        <v>50</v>
      </c>
      <c r="N118" s="4" t="s">
        <v>51</v>
      </c>
      <c r="O118" s="8" t="s">
        <v>26</v>
      </c>
      <c r="P118" s="9" t="s">
        <v>409</v>
      </c>
    </row>
    <row r="119" customFormat="false" ht="53.7" hidden="false" customHeight="false" outlineLevel="0" collapsed="false">
      <c r="A119" s="2" t="n">
        <f aca="false">ROW()-1</f>
        <v>118</v>
      </c>
      <c r="B119" s="16" t="s">
        <v>405</v>
      </c>
      <c r="C119" s="2" t="s">
        <v>410</v>
      </c>
      <c r="D119" s="2" t="s">
        <v>116</v>
      </c>
      <c r="E119" s="4" t="s">
        <v>30</v>
      </c>
      <c r="F119" s="2" t="s">
        <v>31</v>
      </c>
      <c r="G119" s="4" t="s">
        <v>411</v>
      </c>
      <c r="H119" s="5" t="n">
        <v>135</v>
      </c>
      <c r="I119" s="5" t="n">
        <v>200</v>
      </c>
      <c r="J119" s="5" t="n">
        <f aca="false">(H119+I119)/2</f>
        <v>167.5</v>
      </c>
      <c r="K119" s="6" t="s">
        <v>119</v>
      </c>
      <c r="L119" s="4" t="s">
        <v>412</v>
      </c>
      <c r="M119" s="10" t="s">
        <v>34</v>
      </c>
      <c r="N119" s="4" t="s">
        <v>138</v>
      </c>
      <c r="O119" s="8" t="s">
        <v>26</v>
      </c>
      <c r="P119" s="9" t="s">
        <v>413</v>
      </c>
    </row>
    <row r="120" customFormat="false" ht="53.7" hidden="false" customHeight="false" outlineLevel="0" collapsed="false">
      <c r="A120" s="2" t="n">
        <f aca="false">ROW()-1</f>
        <v>119</v>
      </c>
      <c r="B120" s="16" t="s">
        <v>405</v>
      </c>
      <c r="C120" s="2" t="s">
        <v>414</v>
      </c>
      <c r="D120" s="2" t="s">
        <v>130</v>
      </c>
      <c r="E120" s="4" t="s">
        <v>30</v>
      </c>
      <c r="F120" s="2" t="s">
        <v>31</v>
      </c>
      <c r="G120" s="4" t="s">
        <v>411</v>
      </c>
      <c r="H120" s="5" t="n">
        <v>135</v>
      </c>
      <c r="I120" s="5" t="n">
        <v>200</v>
      </c>
      <c r="J120" s="5" t="n">
        <f aca="false">(H120+I120)/2</f>
        <v>167.5</v>
      </c>
      <c r="K120" s="6" t="s">
        <v>119</v>
      </c>
      <c r="L120" s="4" t="s">
        <v>415</v>
      </c>
      <c r="M120" s="10" t="s">
        <v>34</v>
      </c>
      <c r="N120" s="4" t="s">
        <v>138</v>
      </c>
      <c r="O120" s="8" t="s">
        <v>26</v>
      </c>
      <c r="P120" s="9" t="s">
        <v>416</v>
      </c>
    </row>
    <row r="121" customFormat="false" ht="53.7" hidden="false" customHeight="false" outlineLevel="0" collapsed="false">
      <c r="A121" s="2" t="n">
        <f aca="false">ROW()-1</f>
        <v>120</v>
      </c>
      <c r="B121" s="16" t="s">
        <v>405</v>
      </c>
      <c r="C121" s="2" t="s">
        <v>414</v>
      </c>
      <c r="D121" s="2" t="s">
        <v>123</v>
      </c>
      <c r="E121" s="4" t="s">
        <v>30</v>
      </c>
      <c r="F121" s="2" t="s">
        <v>31</v>
      </c>
      <c r="G121" s="4" t="s">
        <v>411</v>
      </c>
      <c r="H121" s="5" t="n">
        <v>135</v>
      </c>
      <c r="I121" s="5" t="n">
        <v>200</v>
      </c>
      <c r="J121" s="5" t="n">
        <f aca="false">(H121+I121)/2</f>
        <v>167.5</v>
      </c>
      <c r="K121" s="6" t="s">
        <v>119</v>
      </c>
      <c r="L121" s="4" t="s">
        <v>417</v>
      </c>
      <c r="M121" s="10" t="s">
        <v>34</v>
      </c>
      <c r="N121" s="4" t="s">
        <v>138</v>
      </c>
      <c r="O121" s="8" t="s">
        <v>26</v>
      </c>
      <c r="P121" s="9" t="s">
        <v>416</v>
      </c>
    </row>
    <row r="122" customFormat="false" ht="53.7" hidden="false" customHeight="false" outlineLevel="0" collapsed="false">
      <c r="A122" s="2" t="n">
        <f aca="false">ROW()-1</f>
        <v>121</v>
      </c>
      <c r="B122" s="16" t="s">
        <v>405</v>
      </c>
      <c r="C122" s="2" t="s">
        <v>418</v>
      </c>
      <c r="D122" s="2" t="s">
        <v>116</v>
      </c>
      <c r="E122" s="4" t="s">
        <v>30</v>
      </c>
      <c r="F122" s="2" t="s">
        <v>31</v>
      </c>
      <c r="G122" s="4" t="s">
        <v>419</v>
      </c>
      <c r="H122" s="5" t="n">
        <v>125</v>
      </c>
      <c r="I122" s="5" t="n">
        <v>180</v>
      </c>
      <c r="J122" s="5" t="n">
        <f aca="false">(H122+I122)/2</f>
        <v>152.5</v>
      </c>
      <c r="K122" s="6" t="s">
        <v>119</v>
      </c>
      <c r="L122" s="4" t="s">
        <v>420</v>
      </c>
      <c r="M122" s="10" t="s">
        <v>34</v>
      </c>
      <c r="N122" s="4" t="s">
        <v>138</v>
      </c>
      <c r="O122" s="8" t="s">
        <v>26</v>
      </c>
      <c r="P122" s="9" t="s">
        <v>421</v>
      </c>
    </row>
    <row r="123" customFormat="false" ht="53.7" hidden="false" customHeight="false" outlineLevel="0" collapsed="false">
      <c r="A123" s="2" t="n">
        <f aca="false">ROW()-1</f>
        <v>122</v>
      </c>
      <c r="B123" s="16" t="s">
        <v>405</v>
      </c>
      <c r="C123" s="2" t="s">
        <v>355</v>
      </c>
      <c r="D123" s="2" t="s">
        <v>422</v>
      </c>
      <c r="E123" s="4" t="s">
        <v>423</v>
      </c>
      <c r="F123" s="2" t="s">
        <v>20</v>
      </c>
      <c r="G123" s="4" t="s">
        <v>419</v>
      </c>
      <c r="H123" s="5" t="n">
        <v>125</v>
      </c>
      <c r="I123" s="5" t="n">
        <v>180</v>
      </c>
      <c r="J123" s="5" t="n">
        <f aca="false">(H123+I123)/2</f>
        <v>152.5</v>
      </c>
      <c r="K123" s="6" t="s">
        <v>119</v>
      </c>
      <c r="L123" s="4" t="s">
        <v>424</v>
      </c>
      <c r="M123" s="10" t="s">
        <v>50</v>
      </c>
      <c r="N123" s="4" t="s">
        <v>51</v>
      </c>
      <c r="O123" s="8" t="s">
        <v>26</v>
      </c>
      <c r="P123" s="9" t="s">
        <v>359</v>
      </c>
    </row>
    <row r="124" customFormat="false" ht="53.7" hidden="false" customHeight="false" outlineLevel="0" collapsed="false">
      <c r="A124" s="2" t="n">
        <f aca="false">ROW()-1</f>
        <v>123</v>
      </c>
      <c r="B124" s="16" t="s">
        <v>405</v>
      </c>
      <c r="C124" s="2" t="s">
        <v>425</v>
      </c>
      <c r="D124" s="2" t="s">
        <v>39</v>
      </c>
      <c r="E124" s="4" t="s">
        <v>117</v>
      </c>
      <c r="F124" s="2" t="s">
        <v>20</v>
      </c>
      <c r="G124" s="4" t="s">
        <v>426</v>
      </c>
      <c r="H124" s="5" t="n">
        <v>80</v>
      </c>
      <c r="I124" s="5" t="n">
        <v>115</v>
      </c>
      <c r="J124" s="5" t="n">
        <f aca="false">(H124+I124)/2</f>
        <v>97.5</v>
      </c>
      <c r="K124" s="6" t="s">
        <v>22</v>
      </c>
      <c r="L124" s="4" t="s">
        <v>427</v>
      </c>
      <c r="M124" s="10" t="s">
        <v>50</v>
      </c>
      <c r="N124" s="4" t="s">
        <v>51</v>
      </c>
      <c r="O124" s="8" t="s">
        <v>26</v>
      </c>
      <c r="P124" s="9" t="s">
        <v>428</v>
      </c>
    </row>
    <row r="125" customFormat="false" ht="53.7" hidden="false" customHeight="false" outlineLevel="0" collapsed="false">
      <c r="A125" s="2" t="n">
        <f aca="false">ROW()-1</f>
        <v>124</v>
      </c>
      <c r="B125" s="16" t="s">
        <v>405</v>
      </c>
      <c r="C125" s="2" t="s">
        <v>429</v>
      </c>
      <c r="D125" s="2" t="s">
        <v>39</v>
      </c>
      <c r="E125" s="4" t="s">
        <v>117</v>
      </c>
      <c r="F125" s="2" t="s">
        <v>20</v>
      </c>
      <c r="G125" s="4" t="s">
        <v>430</v>
      </c>
      <c r="H125" s="5" t="n">
        <v>75</v>
      </c>
      <c r="I125" s="5" t="n">
        <v>110</v>
      </c>
      <c r="J125" s="5" t="n">
        <f aca="false">(H125+I125)/2</f>
        <v>92.5</v>
      </c>
      <c r="K125" s="6" t="s">
        <v>22</v>
      </c>
      <c r="L125" s="4" t="s">
        <v>427</v>
      </c>
      <c r="M125" s="10" t="s">
        <v>50</v>
      </c>
      <c r="N125" s="4" t="s">
        <v>51</v>
      </c>
      <c r="O125" s="8" t="s">
        <v>26</v>
      </c>
      <c r="P125" s="9" t="s">
        <v>431</v>
      </c>
    </row>
    <row r="126" customFormat="false" ht="53.7" hidden="false" customHeight="false" outlineLevel="0" collapsed="false">
      <c r="A126" s="2" t="n">
        <f aca="false">ROW()-1</f>
        <v>125</v>
      </c>
      <c r="B126" s="16" t="s">
        <v>405</v>
      </c>
      <c r="C126" s="2" t="s">
        <v>432</v>
      </c>
      <c r="D126" s="2" t="s">
        <v>53</v>
      </c>
      <c r="E126" s="4" t="s">
        <v>30</v>
      </c>
      <c r="F126" s="2" t="s">
        <v>31</v>
      </c>
      <c r="G126" s="4" t="s">
        <v>357</v>
      </c>
      <c r="H126" s="5" t="n">
        <v>115</v>
      </c>
      <c r="I126" s="5" t="n">
        <v>175</v>
      </c>
      <c r="J126" s="5" t="n">
        <f aca="false">(H126+I126)/2</f>
        <v>145</v>
      </c>
      <c r="K126" s="12" t="s">
        <v>55</v>
      </c>
      <c r="L126" s="4" t="s">
        <v>433</v>
      </c>
      <c r="M126" s="10" t="s">
        <v>34</v>
      </c>
      <c r="N126" s="4" t="s">
        <v>138</v>
      </c>
      <c r="O126" s="8" t="s">
        <v>26</v>
      </c>
      <c r="P126" s="9" t="s">
        <v>434</v>
      </c>
    </row>
    <row r="127" customFormat="false" ht="53.7" hidden="false" customHeight="false" outlineLevel="0" collapsed="false">
      <c r="A127" s="2" t="n">
        <f aca="false">ROW()-1</f>
        <v>126</v>
      </c>
      <c r="B127" s="16" t="s">
        <v>405</v>
      </c>
      <c r="C127" s="2" t="s">
        <v>435</v>
      </c>
      <c r="D127" s="2" t="s">
        <v>53</v>
      </c>
      <c r="E127" s="4" t="s">
        <v>117</v>
      </c>
      <c r="F127" s="2" t="s">
        <v>20</v>
      </c>
      <c r="G127" s="4" t="s">
        <v>357</v>
      </c>
      <c r="H127" s="5" t="n">
        <v>115</v>
      </c>
      <c r="I127" s="5" t="n">
        <v>175</v>
      </c>
      <c r="J127" s="5" t="n">
        <f aca="false">(H127+I127)/2</f>
        <v>145</v>
      </c>
      <c r="K127" s="12" t="s">
        <v>55</v>
      </c>
      <c r="L127" s="4" t="s">
        <v>436</v>
      </c>
      <c r="M127" s="10" t="s">
        <v>50</v>
      </c>
      <c r="N127" s="4" t="s">
        <v>51</v>
      </c>
      <c r="O127" s="8" t="s">
        <v>26</v>
      </c>
      <c r="P127" s="9" t="s">
        <v>437</v>
      </c>
    </row>
    <row r="128" customFormat="false" ht="53.7" hidden="false" customHeight="false" outlineLevel="0" collapsed="false">
      <c r="A128" s="2" t="n">
        <f aca="false">ROW()-1</f>
        <v>127</v>
      </c>
      <c r="B128" s="16" t="s">
        <v>405</v>
      </c>
      <c r="C128" s="2" t="s">
        <v>438</v>
      </c>
      <c r="D128" s="2" t="s">
        <v>80</v>
      </c>
      <c r="E128" s="4" t="s">
        <v>117</v>
      </c>
      <c r="F128" s="2" t="s">
        <v>20</v>
      </c>
      <c r="G128" s="4" t="s">
        <v>439</v>
      </c>
      <c r="H128" s="5" t="n">
        <v>110</v>
      </c>
      <c r="I128" s="5" t="n">
        <v>165</v>
      </c>
      <c r="J128" s="5" t="n">
        <f aca="false">(H128+I128)/2</f>
        <v>137.5</v>
      </c>
      <c r="K128" s="4" t="s">
        <v>77</v>
      </c>
      <c r="L128" s="4" t="s">
        <v>440</v>
      </c>
      <c r="M128" s="10" t="s">
        <v>50</v>
      </c>
      <c r="N128" s="4" t="s">
        <v>51</v>
      </c>
      <c r="O128" s="8" t="s">
        <v>26</v>
      </c>
      <c r="P128" s="9" t="s">
        <v>441</v>
      </c>
    </row>
    <row r="129" customFormat="false" ht="53.7" hidden="false" customHeight="false" outlineLevel="0" collapsed="false">
      <c r="A129" s="2" t="n">
        <f aca="false">ROW()-1</f>
        <v>128</v>
      </c>
      <c r="B129" s="16" t="s">
        <v>405</v>
      </c>
      <c r="C129" s="2" t="s">
        <v>442</v>
      </c>
      <c r="D129" s="2" t="s">
        <v>75</v>
      </c>
      <c r="E129" s="4" t="s">
        <v>226</v>
      </c>
      <c r="F129" s="2" t="s">
        <v>31</v>
      </c>
      <c r="G129" s="4" t="s">
        <v>443</v>
      </c>
      <c r="H129" s="5" t="n">
        <v>130</v>
      </c>
      <c r="I129" s="5" t="n">
        <v>205</v>
      </c>
      <c r="J129" s="5" t="n">
        <f aca="false">(H129+I129)/2</f>
        <v>167.5</v>
      </c>
      <c r="K129" s="4" t="s">
        <v>228</v>
      </c>
      <c r="L129" s="4" t="s">
        <v>444</v>
      </c>
      <c r="M129" s="10" t="s">
        <v>34</v>
      </c>
      <c r="N129" s="4" t="s">
        <v>138</v>
      </c>
      <c r="O129" s="8" t="s">
        <v>26</v>
      </c>
      <c r="P129" s="9" t="s">
        <v>445</v>
      </c>
    </row>
    <row r="130" customFormat="false" ht="53.7" hidden="false" customHeight="false" outlineLevel="0" collapsed="false">
      <c r="A130" s="2" t="n">
        <f aca="false">ROW()-1</f>
        <v>129</v>
      </c>
      <c r="B130" s="16" t="s">
        <v>405</v>
      </c>
      <c r="C130" s="2" t="s">
        <v>446</v>
      </c>
      <c r="D130" s="2" t="s">
        <v>75</v>
      </c>
      <c r="E130" s="4" t="s">
        <v>226</v>
      </c>
      <c r="F130" s="2" t="s">
        <v>31</v>
      </c>
      <c r="G130" s="4" t="s">
        <v>447</v>
      </c>
      <c r="H130" s="5" t="n">
        <v>115</v>
      </c>
      <c r="I130" s="5" t="n">
        <v>180</v>
      </c>
      <c r="J130" s="5" t="n">
        <f aca="false">(H130+I130)/2</f>
        <v>147.5</v>
      </c>
      <c r="K130" s="4" t="s">
        <v>228</v>
      </c>
      <c r="L130" s="4" t="s">
        <v>448</v>
      </c>
      <c r="M130" s="10" t="s">
        <v>34</v>
      </c>
      <c r="N130" s="4" t="s">
        <v>138</v>
      </c>
      <c r="O130" s="8" t="s">
        <v>26</v>
      </c>
      <c r="P130" s="9" t="s">
        <v>449</v>
      </c>
    </row>
    <row r="131" customFormat="false" ht="53.7" hidden="false" customHeight="false" outlineLevel="0" collapsed="false">
      <c r="A131" s="2" t="n">
        <f aca="false">ROW()-1</f>
        <v>130</v>
      </c>
      <c r="B131" s="16" t="s">
        <v>405</v>
      </c>
      <c r="C131" s="2" t="s">
        <v>450</v>
      </c>
      <c r="D131" s="2" t="s">
        <v>95</v>
      </c>
      <c r="E131" s="4" t="s">
        <v>30</v>
      </c>
      <c r="F131" s="2" t="s">
        <v>31</v>
      </c>
      <c r="G131" s="4" t="s">
        <v>451</v>
      </c>
      <c r="H131" s="5" t="n">
        <v>250</v>
      </c>
      <c r="I131" s="5" t="n">
        <v>330</v>
      </c>
      <c r="J131" s="5" t="n">
        <f aca="false">(H131+I131)/2</f>
        <v>290</v>
      </c>
      <c r="K131" s="13" t="s">
        <v>93</v>
      </c>
      <c r="L131" s="4" t="s">
        <v>452</v>
      </c>
      <c r="M131" s="10" t="s">
        <v>34</v>
      </c>
      <c r="N131" s="4" t="s">
        <v>138</v>
      </c>
      <c r="O131" s="8" t="s">
        <v>26</v>
      </c>
      <c r="P131" s="9" t="s">
        <v>453</v>
      </c>
    </row>
    <row r="132" customFormat="false" ht="53.7" hidden="false" customHeight="false" outlineLevel="0" collapsed="false">
      <c r="A132" s="2" t="n">
        <f aca="false">ROW()-1</f>
        <v>131</v>
      </c>
      <c r="B132" s="16" t="s">
        <v>405</v>
      </c>
      <c r="C132" s="2" t="s">
        <v>454</v>
      </c>
      <c r="D132" s="2" t="s">
        <v>95</v>
      </c>
      <c r="E132" s="4" t="s">
        <v>117</v>
      </c>
      <c r="F132" s="2" t="s">
        <v>20</v>
      </c>
      <c r="G132" s="4" t="s">
        <v>451</v>
      </c>
      <c r="H132" s="5" t="n">
        <v>250</v>
      </c>
      <c r="I132" s="5" t="n">
        <v>330</v>
      </c>
      <c r="J132" s="5" t="n">
        <f aca="false">(H132+I132)/2</f>
        <v>290</v>
      </c>
      <c r="K132" s="13" t="s">
        <v>93</v>
      </c>
      <c r="L132" s="4" t="s">
        <v>455</v>
      </c>
      <c r="M132" s="10" t="s">
        <v>50</v>
      </c>
      <c r="N132" s="4" t="s">
        <v>51</v>
      </c>
      <c r="O132" s="8" t="s">
        <v>26</v>
      </c>
      <c r="P132" s="9" t="s">
        <v>456</v>
      </c>
    </row>
    <row r="133" customFormat="false" ht="53.7" hidden="false" customHeight="false" outlineLevel="0" collapsed="false">
      <c r="A133" s="2" t="n">
        <f aca="false">ROW()-1</f>
        <v>132</v>
      </c>
      <c r="B133" s="16" t="s">
        <v>405</v>
      </c>
      <c r="C133" s="2" t="s">
        <v>457</v>
      </c>
      <c r="D133" s="2" t="s">
        <v>458</v>
      </c>
      <c r="E133" s="4" t="s">
        <v>30</v>
      </c>
      <c r="F133" s="2" t="s">
        <v>31</v>
      </c>
      <c r="G133" s="4" t="s">
        <v>459</v>
      </c>
      <c r="H133" s="5" t="n">
        <v>220</v>
      </c>
      <c r="I133" s="5" t="n">
        <v>300</v>
      </c>
      <c r="J133" s="5" t="n">
        <f aca="false">(H133+I133)/2</f>
        <v>260</v>
      </c>
      <c r="K133" s="13" t="s">
        <v>93</v>
      </c>
      <c r="L133" s="4" t="s">
        <v>460</v>
      </c>
      <c r="M133" s="10" t="s">
        <v>34</v>
      </c>
      <c r="N133" s="4" t="s">
        <v>138</v>
      </c>
      <c r="O133" s="8" t="s">
        <v>26</v>
      </c>
      <c r="P133" s="9" t="s">
        <v>461</v>
      </c>
    </row>
    <row r="134" customFormat="false" ht="53.7" hidden="false" customHeight="false" outlineLevel="0" collapsed="false">
      <c r="A134" s="2" t="n">
        <f aca="false">ROW()-1</f>
        <v>133</v>
      </c>
      <c r="B134" s="16" t="s">
        <v>405</v>
      </c>
      <c r="C134" s="2" t="s">
        <v>462</v>
      </c>
      <c r="D134" s="2" t="s">
        <v>91</v>
      </c>
      <c r="E134" s="4" t="s">
        <v>317</v>
      </c>
      <c r="F134" s="2" t="s">
        <v>20</v>
      </c>
      <c r="G134" s="4" t="s">
        <v>459</v>
      </c>
      <c r="H134" s="5" t="n">
        <v>220</v>
      </c>
      <c r="I134" s="5" t="n">
        <v>300</v>
      </c>
      <c r="J134" s="5" t="n">
        <f aca="false">(H134+I134)/2</f>
        <v>260</v>
      </c>
      <c r="K134" s="13" t="s">
        <v>93</v>
      </c>
      <c r="L134" s="4" t="s">
        <v>463</v>
      </c>
      <c r="M134" s="10" t="s">
        <v>50</v>
      </c>
      <c r="N134" s="4" t="s">
        <v>51</v>
      </c>
      <c r="O134" s="8" t="s">
        <v>26</v>
      </c>
      <c r="P134" s="9" t="s">
        <v>464</v>
      </c>
    </row>
    <row r="135" customFormat="false" ht="53.7" hidden="false" customHeight="false" outlineLevel="0" collapsed="false">
      <c r="A135" s="2" t="n">
        <f aca="false">ROW()-1</f>
        <v>134</v>
      </c>
      <c r="B135" s="16" t="s">
        <v>405</v>
      </c>
      <c r="C135" s="2" t="s">
        <v>465</v>
      </c>
      <c r="D135" s="2" t="s">
        <v>95</v>
      </c>
      <c r="E135" s="4" t="s">
        <v>40</v>
      </c>
      <c r="F135" s="2" t="s">
        <v>20</v>
      </c>
      <c r="G135" s="4" t="s">
        <v>459</v>
      </c>
      <c r="H135" s="5" t="n">
        <v>220</v>
      </c>
      <c r="I135" s="5" t="n">
        <v>300</v>
      </c>
      <c r="J135" s="5" t="n">
        <f aca="false">(H135+I135)/2</f>
        <v>260</v>
      </c>
      <c r="K135" s="13" t="s">
        <v>93</v>
      </c>
      <c r="L135" s="4" t="s">
        <v>466</v>
      </c>
      <c r="M135" s="10" t="s">
        <v>50</v>
      </c>
      <c r="N135" s="4" t="s">
        <v>51</v>
      </c>
      <c r="O135" s="8" t="s">
        <v>26</v>
      </c>
      <c r="P135" s="9" t="s">
        <v>467</v>
      </c>
    </row>
    <row r="136" customFormat="false" ht="53.7" hidden="false" customHeight="false" outlineLevel="0" collapsed="false">
      <c r="A136" s="2" t="n">
        <f aca="false">ROW()-1</f>
        <v>135</v>
      </c>
      <c r="B136" s="16" t="s">
        <v>405</v>
      </c>
      <c r="C136" s="2" t="s">
        <v>468</v>
      </c>
      <c r="D136" s="2" t="s">
        <v>95</v>
      </c>
      <c r="E136" s="4" t="s">
        <v>40</v>
      </c>
      <c r="F136" s="2" t="s">
        <v>20</v>
      </c>
      <c r="G136" s="4" t="s">
        <v>469</v>
      </c>
      <c r="H136" s="5" t="n">
        <v>200</v>
      </c>
      <c r="I136" s="5" t="n">
        <v>280</v>
      </c>
      <c r="J136" s="5" t="n">
        <f aca="false">(H136+I136)/2</f>
        <v>240</v>
      </c>
      <c r="K136" s="13" t="s">
        <v>93</v>
      </c>
      <c r="L136" s="4" t="s">
        <v>466</v>
      </c>
      <c r="M136" s="10" t="s">
        <v>50</v>
      </c>
      <c r="N136" s="4" t="s">
        <v>51</v>
      </c>
      <c r="O136" s="8" t="s">
        <v>26</v>
      </c>
      <c r="P136" s="9" t="s">
        <v>470</v>
      </c>
    </row>
    <row r="137" customFormat="false" ht="53.7" hidden="false" customHeight="false" outlineLevel="0" collapsed="false">
      <c r="A137" s="2" t="n">
        <f aca="false">ROW()-1</f>
        <v>136</v>
      </c>
      <c r="B137" s="16" t="s">
        <v>405</v>
      </c>
      <c r="C137" s="2" t="s">
        <v>471</v>
      </c>
      <c r="D137" s="2" t="s">
        <v>245</v>
      </c>
      <c r="E137" s="4" t="s">
        <v>30</v>
      </c>
      <c r="F137" s="2" t="s">
        <v>31</v>
      </c>
      <c r="G137" s="4" t="s">
        <v>472</v>
      </c>
      <c r="H137" s="5" t="n">
        <v>85</v>
      </c>
      <c r="I137" s="5" t="n">
        <v>170</v>
      </c>
      <c r="J137" s="5" t="n">
        <f aca="false">(H137+I137)/2</f>
        <v>127.5</v>
      </c>
      <c r="K137" s="13" t="s">
        <v>473</v>
      </c>
      <c r="L137" s="4" t="s">
        <v>474</v>
      </c>
      <c r="M137" s="10" t="s">
        <v>34</v>
      </c>
      <c r="N137" s="4" t="s">
        <v>138</v>
      </c>
      <c r="O137" s="8" t="s">
        <v>26</v>
      </c>
      <c r="P137" s="9" t="s">
        <v>475</v>
      </c>
    </row>
    <row r="138" customFormat="false" ht="53.7" hidden="false" customHeight="false" outlineLevel="0" collapsed="false">
      <c r="A138" s="2" t="n">
        <f aca="false">ROW()-1</f>
        <v>137</v>
      </c>
      <c r="B138" s="16" t="s">
        <v>405</v>
      </c>
      <c r="C138" s="2" t="s">
        <v>476</v>
      </c>
      <c r="D138" s="2" t="s">
        <v>233</v>
      </c>
      <c r="E138" s="4" t="s">
        <v>30</v>
      </c>
      <c r="F138" s="2" t="s">
        <v>31</v>
      </c>
      <c r="G138" s="4" t="s">
        <v>472</v>
      </c>
      <c r="H138" s="5" t="n">
        <v>85</v>
      </c>
      <c r="I138" s="5" t="n">
        <v>170</v>
      </c>
      <c r="J138" s="5" t="n">
        <f aca="false">(H138+I138)/2</f>
        <v>127.5</v>
      </c>
      <c r="K138" s="13" t="s">
        <v>473</v>
      </c>
      <c r="L138" s="4" t="s">
        <v>477</v>
      </c>
      <c r="M138" s="10" t="s">
        <v>34</v>
      </c>
      <c r="N138" s="4" t="s">
        <v>138</v>
      </c>
      <c r="O138" s="8" t="s">
        <v>26</v>
      </c>
      <c r="P138" s="9" t="s">
        <v>475</v>
      </c>
    </row>
    <row r="139" customFormat="false" ht="53.7" hidden="false" customHeight="false" outlineLevel="0" collapsed="false">
      <c r="A139" s="2" t="n">
        <f aca="false">ROW()-1</f>
        <v>138</v>
      </c>
      <c r="B139" s="16" t="s">
        <v>405</v>
      </c>
      <c r="C139" s="2" t="s">
        <v>478</v>
      </c>
      <c r="D139" s="2" t="s">
        <v>245</v>
      </c>
      <c r="E139" s="4" t="s">
        <v>30</v>
      </c>
      <c r="F139" s="2" t="s">
        <v>31</v>
      </c>
      <c r="G139" s="4" t="s">
        <v>472</v>
      </c>
      <c r="H139" s="5" t="n">
        <v>85</v>
      </c>
      <c r="I139" s="5" t="n">
        <v>170</v>
      </c>
      <c r="J139" s="5" t="n">
        <f aca="false">(H139+I139)/2</f>
        <v>127.5</v>
      </c>
      <c r="K139" s="13" t="s">
        <v>473</v>
      </c>
      <c r="L139" s="4" t="s">
        <v>479</v>
      </c>
      <c r="M139" s="10" t="s">
        <v>34</v>
      </c>
      <c r="N139" s="4" t="s">
        <v>138</v>
      </c>
      <c r="O139" s="8" t="s">
        <v>26</v>
      </c>
      <c r="P139" s="9" t="s">
        <v>480</v>
      </c>
    </row>
    <row r="140" customFormat="false" ht="53.7" hidden="false" customHeight="false" outlineLevel="0" collapsed="false">
      <c r="A140" s="2" t="n">
        <f aca="false">ROW()-1</f>
        <v>139</v>
      </c>
      <c r="B140" s="16" t="s">
        <v>405</v>
      </c>
      <c r="C140" s="2" t="s">
        <v>481</v>
      </c>
      <c r="D140" s="2" t="s">
        <v>482</v>
      </c>
      <c r="E140" s="4" t="s">
        <v>30</v>
      </c>
      <c r="F140" s="2" t="s">
        <v>31</v>
      </c>
      <c r="G140" s="4" t="s">
        <v>483</v>
      </c>
      <c r="H140" s="5" t="n">
        <v>70</v>
      </c>
      <c r="I140" s="5" t="n">
        <v>140</v>
      </c>
      <c r="J140" s="5" t="n">
        <f aca="false">(H140+I140)/2</f>
        <v>105</v>
      </c>
      <c r="K140" s="13" t="s">
        <v>473</v>
      </c>
      <c r="L140" s="4" t="s">
        <v>484</v>
      </c>
      <c r="M140" s="10" t="s">
        <v>34</v>
      </c>
      <c r="N140" s="4" t="s">
        <v>138</v>
      </c>
      <c r="O140" s="8" t="s">
        <v>26</v>
      </c>
      <c r="P140" s="9" t="s">
        <v>475</v>
      </c>
    </row>
    <row r="141" customFormat="false" ht="53.7" hidden="false" customHeight="false" outlineLevel="0" collapsed="false">
      <c r="A141" s="2" t="n">
        <f aca="false">ROW()-1</f>
        <v>140</v>
      </c>
      <c r="B141" s="16" t="s">
        <v>405</v>
      </c>
      <c r="C141" s="2" t="s">
        <v>485</v>
      </c>
      <c r="D141" s="2" t="s">
        <v>245</v>
      </c>
      <c r="E141" s="4" t="s">
        <v>30</v>
      </c>
      <c r="F141" s="2" t="s">
        <v>31</v>
      </c>
      <c r="G141" s="4" t="s">
        <v>483</v>
      </c>
      <c r="H141" s="5" t="n">
        <v>70</v>
      </c>
      <c r="I141" s="5" t="n">
        <v>140</v>
      </c>
      <c r="J141" s="5" t="n">
        <f aca="false">(H141+I141)/2</f>
        <v>105</v>
      </c>
      <c r="K141" s="13" t="s">
        <v>473</v>
      </c>
      <c r="L141" s="4" t="s">
        <v>486</v>
      </c>
      <c r="M141" s="10" t="s">
        <v>34</v>
      </c>
      <c r="N141" s="4" t="s">
        <v>138</v>
      </c>
      <c r="O141" s="8" t="s">
        <v>26</v>
      </c>
      <c r="P141" s="9" t="s">
        <v>475</v>
      </c>
    </row>
    <row r="142" customFormat="false" ht="53.7" hidden="false" customHeight="false" outlineLevel="0" collapsed="false">
      <c r="A142" s="2" t="n">
        <f aca="false">ROW()-1</f>
        <v>141</v>
      </c>
      <c r="B142" s="17" t="s">
        <v>487</v>
      </c>
      <c r="C142" s="2" t="s">
        <v>488</v>
      </c>
      <c r="D142" s="2" t="s">
        <v>159</v>
      </c>
      <c r="E142" s="4" t="s">
        <v>489</v>
      </c>
      <c r="F142" s="2" t="s">
        <v>20</v>
      </c>
      <c r="G142" s="4" t="s">
        <v>490</v>
      </c>
      <c r="H142" s="5" t="n">
        <v>55</v>
      </c>
      <c r="I142" s="5" t="n">
        <v>90</v>
      </c>
      <c r="J142" s="5" t="n">
        <f aca="false">(H142+I142)/2</f>
        <v>72.5</v>
      </c>
      <c r="K142" s="6" t="s">
        <v>162</v>
      </c>
      <c r="L142" s="4" t="s">
        <v>491</v>
      </c>
      <c r="M142" s="4" t="s">
        <v>492</v>
      </c>
      <c r="N142" s="4" t="s">
        <v>51</v>
      </c>
      <c r="O142" s="8" t="s">
        <v>26</v>
      </c>
      <c r="P142" s="9" t="s">
        <v>493</v>
      </c>
    </row>
    <row r="143" customFormat="false" ht="53.7" hidden="false" customHeight="false" outlineLevel="0" collapsed="false">
      <c r="A143" s="2" t="n">
        <f aca="false">ROW()-1</f>
        <v>142</v>
      </c>
      <c r="B143" s="17" t="s">
        <v>487</v>
      </c>
      <c r="C143" s="2" t="s">
        <v>286</v>
      </c>
      <c r="D143" s="2" t="s">
        <v>53</v>
      </c>
      <c r="E143" s="4" t="s">
        <v>117</v>
      </c>
      <c r="F143" s="2" t="s">
        <v>20</v>
      </c>
      <c r="G143" s="4" t="s">
        <v>494</v>
      </c>
      <c r="H143" s="5" t="n">
        <v>125</v>
      </c>
      <c r="I143" s="5" t="n">
        <v>190</v>
      </c>
      <c r="J143" s="5" t="n">
        <f aca="false">(H143+I143)/2</f>
        <v>157.5</v>
      </c>
      <c r="K143" s="12" t="s">
        <v>55</v>
      </c>
      <c r="L143" s="4" t="s">
        <v>495</v>
      </c>
      <c r="M143" s="10" t="s">
        <v>289</v>
      </c>
      <c r="N143" s="4" t="s">
        <v>51</v>
      </c>
      <c r="O143" s="8" t="s">
        <v>26</v>
      </c>
      <c r="P143" s="9" t="s">
        <v>290</v>
      </c>
    </row>
    <row r="144" customFormat="false" ht="53.7" hidden="false" customHeight="false" outlineLevel="0" collapsed="false">
      <c r="A144" s="2" t="n">
        <f aca="false">ROW()-1</f>
        <v>143</v>
      </c>
      <c r="B144" s="17" t="s">
        <v>487</v>
      </c>
      <c r="C144" s="2" t="s">
        <v>323</v>
      </c>
      <c r="D144" s="2" t="s">
        <v>53</v>
      </c>
      <c r="E144" s="4" t="s">
        <v>117</v>
      </c>
      <c r="F144" s="2" t="s">
        <v>20</v>
      </c>
      <c r="G144" s="4" t="s">
        <v>494</v>
      </c>
      <c r="H144" s="5" t="n">
        <v>125</v>
      </c>
      <c r="I144" s="5" t="n">
        <v>190</v>
      </c>
      <c r="J144" s="5" t="n">
        <f aca="false">(H144+I144)/2</f>
        <v>157.5</v>
      </c>
      <c r="K144" s="12" t="s">
        <v>55</v>
      </c>
      <c r="L144" s="4" t="s">
        <v>495</v>
      </c>
      <c r="M144" s="4" t="s">
        <v>325</v>
      </c>
      <c r="N144" s="4" t="s">
        <v>51</v>
      </c>
      <c r="O144" s="8" t="s">
        <v>26</v>
      </c>
      <c r="P144" s="9" t="s">
        <v>326</v>
      </c>
    </row>
    <row r="145" customFormat="false" ht="53.7" hidden="false" customHeight="false" outlineLevel="0" collapsed="false">
      <c r="A145" s="2" t="n">
        <f aca="false">ROW()-1</f>
        <v>144</v>
      </c>
      <c r="B145" s="17" t="s">
        <v>487</v>
      </c>
      <c r="C145" s="2" t="s">
        <v>496</v>
      </c>
      <c r="D145" s="2" t="s">
        <v>53</v>
      </c>
      <c r="E145" s="4" t="s">
        <v>117</v>
      </c>
      <c r="F145" s="2" t="s">
        <v>20</v>
      </c>
      <c r="G145" s="4" t="s">
        <v>497</v>
      </c>
      <c r="H145" s="5" t="n">
        <v>120</v>
      </c>
      <c r="I145" s="5" t="n">
        <v>180</v>
      </c>
      <c r="J145" s="5" t="n">
        <f aca="false">(H145+I145)/2</f>
        <v>150</v>
      </c>
      <c r="K145" s="12" t="s">
        <v>55</v>
      </c>
      <c r="L145" s="4" t="s">
        <v>495</v>
      </c>
      <c r="M145" s="4" t="s">
        <v>325</v>
      </c>
      <c r="N145" s="4" t="s">
        <v>51</v>
      </c>
      <c r="O145" s="8" t="s">
        <v>26</v>
      </c>
      <c r="P145" s="9" t="s">
        <v>498</v>
      </c>
    </row>
    <row r="146" customFormat="false" ht="53.7" hidden="false" customHeight="false" outlineLevel="0" collapsed="false">
      <c r="A146" s="2" t="n">
        <f aca="false">ROW()-1</f>
        <v>145</v>
      </c>
      <c r="B146" s="17" t="s">
        <v>487</v>
      </c>
      <c r="C146" s="2" t="s">
        <v>499</v>
      </c>
      <c r="D146" s="2" t="s">
        <v>53</v>
      </c>
      <c r="E146" s="4" t="s">
        <v>30</v>
      </c>
      <c r="F146" s="2" t="s">
        <v>31</v>
      </c>
      <c r="G146" s="4" t="s">
        <v>500</v>
      </c>
      <c r="H146" s="5" t="n">
        <v>105</v>
      </c>
      <c r="I146" s="5" t="n">
        <v>165</v>
      </c>
      <c r="J146" s="5" t="n">
        <f aca="false">(H146+I146)/2</f>
        <v>135</v>
      </c>
      <c r="K146" s="12" t="s">
        <v>55</v>
      </c>
      <c r="L146" s="4" t="s">
        <v>501</v>
      </c>
      <c r="M146" s="10" t="s">
        <v>34</v>
      </c>
      <c r="N146" s="4" t="s">
        <v>138</v>
      </c>
      <c r="O146" s="8" t="s">
        <v>26</v>
      </c>
      <c r="P146" s="9" t="s">
        <v>502</v>
      </c>
    </row>
    <row r="147" customFormat="false" ht="53.7" hidden="false" customHeight="false" outlineLevel="0" collapsed="false">
      <c r="A147" s="2" t="n">
        <f aca="false">ROW()-1</f>
        <v>146</v>
      </c>
      <c r="B147" s="17" t="s">
        <v>487</v>
      </c>
      <c r="C147" s="2" t="s">
        <v>503</v>
      </c>
      <c r="D147" s="2" t="s">
        <v>504</v>
      </c>
      <c r="E147" s="4" t="s">
        <v>505</v>
      </c>
      <c r="F147" s="2" t="s">
        <v>31</v>
      </c>
      <c r="G147" s="4" t="s">
        <v>506</v>
      </c>
      <c r="H147" s="5" t="n">
        <v>400</v>
      </c>
      <c r="I147" s="5" t="n">
        <v>700</v>
      </c>
      <c r="J147" s="5" t="n">
        <f aca="false">(H147+I147)/2</f>
        <v>550</v>
      </c>
      <c r="K147" s="13" t="s">
        <v>93</v>
      </c>
      <c r="L147" s="4" t="s">
        <v>507</v>
      </c>
      <c r="M147" s="7" t="s">
        <v>508</v>
      </c>
      <c r="N147" s="4" t="s">
        <v>138</v>
      </c>
      <c r="O147" s="8" t="s">
        <v>26</v>
      </c>
      <c r="P147" s="9" t="s">
        <v>509</v>
      </c>
    </row>
    <row r="148" customFormat="false" ht="53.7" hidden="false" customHeight="false" outlineLevel="0" collapsed="false">
      <c r="A148" s="2" t="n">
        <f aca="false">ROW()-1</f>
        <v>147</v>
      </c>
      <c r="B148" s="17" t="s">
        <v>487</v>
      </c>
      <c r="C148" s="2" t="s">
        <v>510</v>
      </c>
      <c r="D148" s="2" t="s">
        <v>511</v>
      </c>
      <c r="E148" s="4" t="s">
        <v>30</v>
      </c>
      <c r="F148" s="2" t="s">
        <v>31</v>
      </c>
      <c r="G148" s="4" t="s">
        <v>512</v>
      </c>
      <c r="H148" s="5" t="n">
        <v>400</v>
      </c>
      <c r="I148" s="5" t="n">
        <v>600</v>
      </c>
      <c r="J148" s="5" t="n">
        <f aca="false">(H148+I148)/2</f>
        <v>500</v>
      </c>
      <c r="K148" s="13" t="s">
        <v>93</v>
      </c>
      <c r="L148" s="4" t="s">
        <v>513</v>
      </c>
      <c r="M148" s="7" t="s">
        <v>514</v>
      </c>
      <c r="N148" s="4" t="s">
        <v>138</v>
      </c>
      <c r="O148" s="8" t="s">
        <v>26</v>
      </c>
      <c r="P148" s="9" t="s">
        <v>515</v>
      </c>
    </row>
  </sheetData>
  <autoFilter ref="A1:P148"/>
  <hyperlinks>
    <hyperlink ref="P2" r:id="rId1" display="https://www.hudsonrivertrading.com/careers/"/>
    <hyperlink ref="P3" r:id="rId2" display="https://www.xtxmarkets.com/careers/"/>
    <hyperlink ref="P4" r:id="rId3" display="https://www.janestreet.com/join-jane-street/open-roles/"/>
    <hyperlink ref="P5" r:id="rId4" display="https://www.jumptrading.com/careers/"/>
    <hyperlink ref="P6" r:id="rId5" display="https://www.janestreet.com/join-jane-street/open-roles/"/>
    <hyperlink ref="P7" r:id="rId6" display="https://www.xtxmarkets.com/careers/"/>
    <hyperlink ref="P8" r:id="rId7" display="https://www.hudsonrivertrading.com/careers/"/>
    <hyperlink ref="P9" r:id="rId8" display="https://www.jumptrading.com/careers/"/>
    <hyperlink ref="P10" r:id="rId9" display="https://www.gresearch.com/vacancies/"/>
    <hyperlink ref="P11" r:id="rId10" display="https://www.levels.fyi/companies/jane-street/salaries"/>
    <hyperlink ref="P12" r:id="rId11" display="https://www.janestreet.com/join-jane-street/open-roles/"/>
    <hyperlink ref="P13" r:id="rId12" display="https://www.hudsonrivertrading.com/careers/"/>
    <hyperlink ref="P14" r:id="rId13" display="https://www.jumptrading.com/careers/"/>
    <hyperlink ref="P15" r:id="rId14" display="https://www.xtxmarkets.com/careers/"/>
    <hyperlink ref="P16" r:id="rId15" display="https://www.janestreet.com/join-jane-street/open-roles/"/>
    <hyperlink ref="P17" r:id="rId16" display="https://www.janestreet.com/join-jane-street/open-roles/"/>
    <hyperlink ref="P18" r:id="rId17" display="https://www.hudsonrivertrading.com/careers/"/>
    <hyperlink ref="P19" r:id="rId18" display="https://www.hudsonrivertrading.com/careers/"/>
    <hyperlink ref="P20" r:id="rId19" display="https://www.hudsonrivertrading.com/careers/"/>
    <hyperlink ref="P21" r:id="rId20" display="https://www.jumptrading.com/careers/"/>
    <hyperlink ref="P22" r:id="rId21" display="https://www.xtxmarkets.com/careers/"/>
    <hyperlink ref="P23" r:id="rId22" display="https://www.gresearch.com/vacancies/"/>
    <hyperlink ref="P24" r:id="rId23" display="https://www.citadelsecurities.com/careers/"/>
    <hyperlink ref="P25" r:id="rId24" display="https://careers.imc.com/"/>
    <hyperlink ref="P26" r:id="rId25" display="https://www.squarepoint-capital.com/careers"/>
    <hyperlink ref="P27" r:id="rId26" display="https://www.qube-rt.com/careers/"/>
    <hyperlink ref="P28" r:id="rId27" display="https://www.drw.com/work-at-drw"/>
    <hyperlink ref="P29" r:id="rId28" display="https://tower-research.com/offices/"/>
    <hyperlink ref="P30" r:id="rId29" display="https://tower-research.com/offices/"/>
    <hyperlink ref="P31" r:id="rId30" display="https://careers.imc.com/"/>
    <hyperlink ref="P32" r:id="rId31" display="https://optiver.com/working-at-optiver/career-opportunities/"/>
    <hyperlink ref="P33" r:id="rId32" display="https://www.citadelsecurities.com/careers/"/>
    <hyperlink ref="P34" r:id="rId33" display="https://www.squarepoint-capital.com/careers"/>
    <hyperlink ref="P35" r:id="rId34" display="https://careers.twosigma.com/"/>
    <hyperlink ref="P36" r:id="rId35" display="https://www.cfm.com/careers/"/>
    <hyperlink ref="P37" r:id="rId36" display="https://quadrature.ai/"/>
    <hyperlink ref="P38" r:id="rId37" display="https://www.citadelsecurities.com/careers/"/>
    <hyperlink ref="P39" r:id="rId38" display="https://www.qube-rt.com/careers/"/>
    <hyperlink ref="P40" r:id="rId39" display="https://careers.twosigma.com/"/>
    <hyperlink ref="P41" r:id="rId40" display="https://www.drw.com/work-at-drw"/>
    <hyperlink ref="P42" r:id="rId41" display="https://tower-research.com/offices/"/>
    <hyperlink ref="P43" r:id="rId42" display="https://www.deshaw.com/careers"/>
    <hyperlink ref="P44" r:id="rId43" display="https://www.cfm.com/careers/"/>
    <hyperlink ref="P45" r:id="rId44" display="https://www.squarepoint-capital.com/careers"/>
    <hyperlink ref="P46" r:id="rId45" display="https://www.adia.ae/en/careers"/>
    <hyperlink ref="P47" r:id="rId46" display="https://www.citadelsecurities.com/careers/"/>
    <hyperlink ref="P48" r:id="rId47" display="https://www.qube-rt.com/careers/"/>
    <hyperlink ref="P49" r:id="rId48" display="https://tower-research.com/offices/"/>
    <hyperlink ref="P50" r:id="rId49" display="https://www.citadelsecurities.com/careers/"/>
    <hyperlink ref="P51" r:id="rId50" display="https://www.deshaw.com/careers"/>
    <hyperlink ref="P52" r:id="rId51" display="https://careers.imc.com/"/>
    <hyperlink ref="P53" r:id="rId52" display="https://tower-research.com/offices/"/>
    <hyperlink ref="P54" r:id="rId53" display="https://www.qube-rt.com/careers/"/>
    <hyperlink ref="P55" r:id="rId54" display="https://www.drw.com/work-at-drw"/>
    <hyperlink ref="P56" r:id="rId55" display="https://www.squarepoint-capital.com/careers"/>
    <hyperlink ref="P57" r:id="rId56" display="https://www.drw.com/work-at-drw"/>
    <hyperlink ref="P58" r:id="rId57" display="https://www.ubiquant.com/"/>
    <hyperlink ref="P59" r:id="rId58" display="https://www.ubiquant.com/"/>
    <hyperlink ref="P60" r:id="rId59" display="https://www.high-flyer.cn/"/>
    <hyperlink ref="P61" r:id="rId60" display="https://www.high-flyer.cn/"/>
    <hyperlink ref="P62" r:id="rId61" display="https://fiverings.com/"/>
    <hyperlink ref="P63" r:id="rId62" display="https://www.citadelsecurities.com/careers/"/>
    <hyperlink ref="P64" r:id="rId63" display="https://www.citadelsecurities.com/careers/"/>
    <hyperlink ref="P65" r:id="rId64" display="https://www.citadelsecurities.com/careers/"/>
    <hyperlink ref="P66" r:id="rId65" display="https://careers.imc.com/"/>
    <hyperlink ref="P67" r:id="rId66" display="https://www.citadelsecurities.com/careers/"/>
    <hyperlink ref="P68" r:id="rId67" display="https://www.drw.com/work-at-drw"/>
    <hyperlink ref="P69" r:id="rId68" display="https://careers.twosigma.com/"/>
    <hyperlink ref="P70" r:id="rId69" display="https://optiver.com/working-at-optiver/career-opportunities/"/>
    <hyperlink ref="P71" r:id="rId70" display="https://tower-research.com/offices/"/>
    <hyperlink ref="P72" r:id="rId71" display="https://www.deshaw.com/careers"/>
    <hyperlink ref="P73" r:id="rId72" display="https://optiver.com/working-at-optiver/career-opportunities/"/>
    <hyperlink ref="P74" r:id="rId73" display="https://www.squarepoint-capital.com/careers"/>
    <hyperlink ref="P75" r:id="rId74" display="https://www.cfm.com/careers/"/>
    <hyperlink ref="P76" r:id="rId75" display="https://www.mlp.com/careers/"/>
    <hyperlink ref="P77" r:id="rId76" display="https://www.systematica.com/"/>
    <hyperlink ref="P78" r:id="rId77" display="https://www.schonfeld.com/careers"/>
    <hyperlink ref="P79" r:id="rId78" display="https://www.headlandstech.com/"/>
    <hyperlink ref="P80" r:id="rId79" display="https://careers.sig.com/"/>
    <hyperlink ref="P81" r:id="rId80" display="https://www.oldmissioncapital.com/"/>
    <hyperlink ref="P82" r:id="rId81" display="https://careers.point72.com/"/>
    <hyperlink ref="P83" r:id="rId82" display="https://www.mlp.com/careers/"/>
    <hyperlink ref="P84" r:id="rId83" display="https://www.bamfunds.com/careers"/>
    <hyperlink ref="P85" r:id="rId84" display="https://www.mlp.com/careers/"/>
    <hyperlink ref="P86" r:id="rId85" display="https://careers.point72.com/"/>
    <hyperlink ref="P87" r:id="rId86" display="https://davinciderivatives.com/"/>
    <hyperlink ref="P88" r:id="rId87" display="https://www.flowtraders.com/careers"/>
    <hyperlink ref="P89" r:id="rId88" display="https://careers.point72.com/"/>
    <hyperlink ref="P90" r:id="rId89" display="https://www.exoduspoint.com/"/>
    <hyperlink ref="P91" r:id="rId90" display="https://www.goldmansachs.com/careers/"/>
    <hyperlink ref="P92" r:id="rId91" display="https://www.goldmansachs.com/careers/"/>
    <hyperlink ref="P93" r:id="rId92" display="https://www.wintermute.com/careers"/>
    <hyperlink ref="P94" r:id="rId93" display="https://careers.point72.com/"/>
    <hyperlink ref="P95" r:id="rId94" display="https://www.mlp.com/careers/"/>
    <hyperlink ref="P96" r:id="rId95" display="https://www.mavensecurities.com/careers/"/>
    <hyperlink ref="P97" r:id="rId96" display="https://www.mwam.com/"/>
    <hyperlink ref="P98" r:id="rId97" display="https://www.bamfunds.com/careers"/>
    <hyperlink ref="P99" r:id="rId98" display="https://www.mingshiim.com/"/>
    <hyperlink ref="P100" r:id="rId99" display="https://www.man.com/careers"/>
    <hyperlink ref="P101" r:id="rId100" display="https://careers.sig.com/"/>
    <hyperlink ref="P102" r:id="rId101" display="https://www.eclipsetrading.com/careers"/>
    <hyperlink ref="P103" r:id="rId102" display="https://www.mavensecurities.com/careers/"/>
    <hyperlink ref="P104" r:id="rId103" display="https://www.quantedge.com/"/>
    <hyperlink ref="P105" r:id="rId104" display="https://grasshopperasia.com/"/>
    <hyperlink ref="P106" r:id="rId105" display="https://www.squarepoint-capital.com/careers"/>
    <hyperlink ref="P107" r:id="rId106" display="https://www.blackwingam.com/"/>
    <hyperlink ref="P108" r:id="rId107" display="https://pdtpartners.com/"/>
    <hyperlink ref="P109" r:id="rId108" display="https://radixtrading.co/"/>
    <hyperlink ref="P110" r:id="rId109" display="https://www.headlandstech.com/"/>
    <hyperlink ref="P111" r:id="rId110" display="https://careers.sig.com/"/>
    <hyperlink ref="P112" r:id="rId111" display="https://www.vaticlabs.com/"/>
    <hyperlink ref="P113" r:id="rId112" display="https://voleon.com/"/>
    <hyperlink ref="P114" r:id="rId113" display="https://www.oldmissioncapital.com/"/>
    <hyperlink ref="P115" r:id="rId114" display="https://akunacapital.com/careers"/>
    <hyperlink ref="P116" r:id="rId115" display="https://careers.point72.com/"/>
    <hyperlink ref="P117" r:id="rId116" display="https://www.mlp.com/careers/"/>
    <hyperlink ref="P118" r:id="rId117" display="https://www.brevanhoward.com/"/>
    <hyperlink ref="P119" r:id="rId118" display="https://www.worldquant.com/careers/"/>
    <hyperlink ref="P120" r:id="rId119" display="https://www.gardacp.com/"/>
    <hyperlink ref="P121" r:id="rId120" display="https://www.gardacp.com/"/>
    <hyperlink ref="P122" r:id="rId121" display="https://www.quantica-capital.com/"/>
    <hyperlink ref="P123" r:id="rId122" display="https://www.man.com/careers"/>
    <hyperlink ref="P124" r:id="rId123" display="https://alloptions.nl/careers/"/>
    <hyperlink ref="P125" r:id="rId124" display="https://www.webbtraders.com/careers"/>
    <hyperlink ref="P126" r:id="rId125" display="https://www.winton.com/careers"/>
    <hyperlink ref="P127" r:id="rId126" display="https://www.mako.com/careers"/>
    <hyperlink ref="P128" r:id="rId127" display="https://www.dymonasia.com/"/>
    <hyperlink ref="P129" r:id="rId128" display="https://www.wizardquant.com/"/>
    <hyperlink ref="P130" r:id="rId129" display="https://www.qxfund.com/"/>
    <hyperlink ref="P131" r:id="rId130" display="https://www.aquaticcapital.com/"/>
    <hyperlink ref="P132" r:id="rId131" display="https://www.chicagotrading.com/careers/"/>
    <hyperlink ref="P133" r:id="rId132" display="https://www.arrowstreetcapital.com/careers/"/>
    <hyperlink ref="P134" r:id="rId133" display="https://www.virtu.com/careers/"/>
    <hyperlink ref="P135" r:id="rId134" display="https://www.wolve.com/careers"/>
    <hyperlink ref="P136" r:id="rId135" display="https://www.belvederetrading.com/careers"/>
    <hyperlink ref="P137" r:id="rId136" display="https://gs.amac.org.cn"/>
    <hyperlink ref="P138" r:id="rId137" display="https://gs.amac.org.cn"/>
    <hyperlink ref="P139" r:id="rId138" display="http://www.yanfuinvest.com/"/>
    <hyperlink ref="P140" r:id="rId139" display="https://gs.amac.org.cn"/>
    <hyperlink ref="P141" r:id="rId140" display="https://gs.amac.org.cn"/>
    <hyperlink ref="P142" r:id="rId141" display="https://www.nomura.com/careers/"/>
    <hyperlink ref="P143" r:id="rId142" display="https://www.schonfeld.com/careers"/>
    <hyperlink ref="P144" r:id="rId143" display="https://www.exoduspoint.com/"/>
    <hyperlink ref="P145" r:id="rId144" display="https://www.verition.com/"/>
    <hyperlink ref="P146" r:id="rId145" display="https://careers.aqr.com/"/>
    <hyperlink ref="P147" r:id="rId146" display="https://www.rentec.com/"/>
    <hyperlink ref="P148" r:id="rId147" display="https://www.tgsmc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8" t="s">
        <v>516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18" t="s">
        <v>517</v>
      </c>
    </row>
    <row r="4" customFormat="false" ht="35.05" hidden="false" customHeight="false" outlineLevel="0" collapsed="false">
      <c r="A4" s="19" t="s">
        <v>518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19" t="s">
        <v>519</v>
      </c>
    </row>
    <row r="7" customFormat="false" ht="15" hidden="false" customHeight="false" outlineLevel="0" collapsed="false">
      <c r="A7" s="19" t="s">
        <v>520</v>
      </c>
    </row>
    <row r="8" customFormat="false" ht="15" hidden="false" customHeight="false" outlineLevel="0" collapsed="false">
      <c r="A8" s="19" t="s">
        <v>521</v>
      </c>
    </row>
    <row r="9" customFormat="false" ht="15" hidden="false" customHeight="false" outlineLevel="0" collapsed="false">
      <c r="A9" s="19" t="s">
        <v>522</v>
      </c>
    </row>
    <row r="10" customFormat="false" ht="15" hidden="false" customHeight="false" outlineLevel="0" collapsed="false">
      <c r="A10" s="19" t="s">
        <v>523</v>
      </c>
    </row>
    <row r="11" customFormat="false" ht="15" hidden="false" customHeight="false" outlineLevel="0" collapsed="false">
      <c r="A11" s="19" t="s">
        <v>524</v>
      </c>
    </row>
    <row r="12" customFormat="false" ht="15" hidden="false" customHeight="false" outlineLevel="0" collapsed="false">
      <c r="A12" s="19" t="s">
        <v>525</v>
      </c>
    </row>
    <row r="13" customFormat="false" ht="15" hidden="false" customHeight="false" outlineLevel="0" collapsed="false">
      <c r="A13" s="19" t="s">
        <v>526</v>
      </c>
    </row>
    <row r="14" customFormat="false" ht="15" hidden="false" customHeight="false" outlineLevel="0" collapsed="false">
      <c r="A14" s="19"/>
    </row>
    <row r="15" customFormat="false" ht="15" hidden="false" customHeight="false" outlineLevel="0" collapsed="false">
      <c r="A15" s="19" t="s">
        <v>527</v>
      </c>
    </row>
    <row r="16" customFormat="false" ht="15" hidden="false" customHeight="false" outlineLevel="0" collapsed="false">
      <c r="A16" s="19" t="s">
        <v>528</v>
      </c>
    </row>
    <row r="17" customFormat="false" ht="15" hidden="false" customHeight="false" outlineLevel="0" collapsed="false">
      <c r="A17" s="19" t="s">
        <v>529</v>
      </c>
    </row>
    <row r="18" customFormat="false" ht="15" hidden="false" customHeight="false" outlineLevel="0" collapsed="false">
      <c r="A18" s="19" t="s">
        <v>530</v>
      </c>
    </row>
    <row r="19" customFormat="false" ht="15" hidden="false" customHeight="false" outlineLevel="0" collapsed="false">
      <c r="A19" s="19" t="s">
        <v>531</v>
      </c>
    </row>
    <row r="20" customFormat="false" ht="15" hidden="false" customHeight="false" outlineLevel="0" collapsed="false">
      <c r="A20" s="19" t="s">
        <v>532</v>
      </c>
    </row>
    <row r="21" customFormat="false" ht="15" hidden="false" customHeight="false" outlineLevel="0" collapsed="false">
      <c r="A21" s="19"/>
    </row>
    <row r="22" customFormat="false" ht="15" hidden="false" customHeight="false" outlineLevel="0" collapsed="false">
      <c r="A22" s="18" t="s">
        <v>533</v>
      </c>
    </row>
    <row r="23" customFormat="false" ht="35.05" hidden="false" customHeight="false" outlineLevel="0" collapsed="false">
      <c r="A23" s="19" t="s">
        <v>534</v>
      </c>
    </row>
    <row r="24" customFormat="false" ht="15" hidden="false" customHeight="false" outlineLevel="0" collapsed="false">
      <c r="A24" s="19"/>
    </row>
    <row r="25" customFormat="false" ht="15" hidden="false" customHeight="false" outlineLevel="0" collapsed="false">
      <c r="A25" s="18" t="s">
        <v>535</v>
      </c>
    </row>
    <row r="26" customFormat="false" ht="46.25" hidden="false" customHeight="false" outlineLevel="0" collapsed="false">
      <c r="A26" s="19" t="s">
        <v>536</v>
      </c>
    </row>
    <row r="27" customFormat="false" ht="15" hidden="false" customHeight="false" outlineLevel="0" collapsed="false">
      <c r="A27" s="19"/>
    </row>
    <row r="28" customFormat="false" ht="15" hidden="false" customHeight="false" outlineLevel="0" collapsed="false">
      <c r="A28" s="18" t="s">
        <v>537</v>
      </c>
    </row>
    <row r="29" customFormat="false" ht="46.25" hidden="false" customHeight="false" outlineLevel="0" collapsed="false">
      <c r="A29" s="19" t="s">
        <v>538</v>
      </c>
    </row>
    <row r="30" customFormat="false" ht="15" hidden="false" customHeight="false" outlineLevel="0" collapsed="false">
      <c r="A30" s="19"/>
    </row>
    <row r="31" customFormat="false" ht="15" hidden="false" customHeight="false" outlineLevel="0" collapsed="false">
      <c r="A31" s="18" t="s">
        <v>539</v>
      </c>
    </row>
    <row r="32" customFormat="false" ht="57.45" hidden="false" customHeight="false" outlineLevel="0" collapsed="false">
      <c r="A32" s="19" t="s">
        <v>540</v>
      </c>
    </row>
    <row r="33" customFormat="false" ht="15" hidden="false" customHeight="false" outlineLevel="0" collapsed="false">
      <c r="A33" s="19"/>
    </row>
    <row r="34" customFormat="false" ht="15" hidden="false" customHeight="false" outlineLevel="0" collapsed="false">
      <c r="A34" s="18" t="s">
        <v>541</v>
      </c>
    </row>
    <row r="35" customFormat="false" ht="79.85" hidden="false" customHeight="false" outlineLevel="0" collapsed="false">
      <c r="A35" s="19" t="s">
        <v>542</v>
      </c>
    </row>
    <row r="36" customFormat="false" ht="46.25" hidden="false" customHeight="false" outlineLevel="0" collapsed="false">
      <c r="A36" s="19" t="s">
        <v>543</v>
      </c>
    </row>
    <row r="37" customFormat="false" ht="15" hidden="false" customHeight="false" outlineLevel="0" collapsed="false">
      <c r="A37" s="19"/>
    </row>
    <row r="38" customFormat="false" ht="15" hidden="false" customHeight="false" outlineLevel="0" collapsed="false">
      <c r="A38" s="18" t="s">
        <v>544</v>
      </c>
    </row>
    <row r="39" customFormat="false" ht="23.85" hidden="false" customHeight="false" outlineLevel="0" collapsed="false">
      <c r="A39" s="19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2026-08-04T06:52:17Z</dcterms:created>
  <dc:creator>openpyxl</dc:creator>
  <dc:description/>
  <dc:language>en-US</dc:language>
  <cp:lastModifiedBy/>
  <dcterms:modified xsi:type="dcterms:W3CDTF">2026-08-04T06:52:18Z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